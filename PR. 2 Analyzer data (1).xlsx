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pivotTables/pivotTable2.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pivotTables/pivotTable3.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2B6635357CFAE5AA/Documents/"/>
    </mc:Choice>
  </mc:AlternateContent>
  <xr:revisionPtr revIDLastSave="0" documentId="8_{A15C4BC7-7505-4430-9B7E-6D23087A64D7}" xr6:coauthVersionLast="47" xr6:coauthVersionMax="47" xr10:uidLastSave="{00000000-0000-0000-0000-000000000000}"/>
  <bookViews>
    <workbookView xWindow="-108" yWindow="-108" windowWidth="23256" windowHeight="12456" firstSheet="1" activeTab="6" xr2:uid="{00000000-000D-0000-FFFF-FFFF00000000}"/>
  </bookViews>
  <sheets>
    <sheet name="Project Instructions" sheetId="1" r:id="rId1"/>
    <sheet name="Descriptive statistics" sheetId="3" r:id="rId2"/>
    <sheet name="Regression" sheetId="4" r:id="rId3"/>
    <sheet name="Region" sheetId="5" r:id="rId4"/>
    <sheet name="Years Sales" sheetId="6" r:id="rId5"/>
    <sheet name="Product category" sheetId="7" r:id="rId6"/>
    <sheet name="Dataset" sheetId="2" r:id="rId7"/>
  </sheets>
  <calcPr calcId="191029"/>
  <pivotCaches>
    <pivotCache cacheId="8"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1"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 i="2"/>
  <c r="I20" i="6"/>
</calcChain>
</file>

<file path=xl/sharedStrings.xml><?xml version="1.0" encoding="utf-8"?>
<sst xmlns="http://schemas.openxmlformats.org/spreadsheetml/2006/main" count="892" uniqueCount="138">
  <si>
    <t>PR. 2 Analyzer</t>
  </si>
  <si>
    <r>
      <rPr>
        <b/>
        <sz val="11"/>
        <color theme="1"/>
        <rFont val="Calibri"/>
      </rPr>
      <t xml:space="preserve">Topics:
</t>
    </r>
    <r>
      <rPr>
        <sz val="11"/>
        <color theme="1"/>
        <rFont val="Calibri"/>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rPr>
      <t>Main Tasks:</t>
    </r>
    <r>
      <rPr>
        <sz val="11"/>
        <color rgb="FF38761D"/>
        <rFont val="Calibri"/>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rPr>
      <t xml:space="preserve">
</t>
    </r>
    <r>
      <rPr>
        <b/>
        <sz val="11"/>
        <color theme="1"/>
        <rFont val="Calibri"/>
      </rPr>
      <t xml:space="preserve">Deliverable:
</t>
    </r>
    <r>
      <rPr>
        <sz val="11"/>
        <color theme="1"/>
        <rFont val="Calibri"/>
      </rPr>
      <t>Complete the given worksheet by applying the required formulas in respective sheets.</t>
    </r>
  </si>
  <si>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</si>
  <si>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</si>
  <si>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</si>
  <si>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</si>
  <si>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</si>
  <si>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</si>
  <si>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</si>
  <si>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</si>
  <si>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</si>
  <si>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</si>
  <si>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</si>
  <si>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</si>
  <si>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</si>
  <si>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</si>
  <si>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</si>
  <si>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</si>
  <si>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</si>
  <si>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</si>
  <si>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</si>
  <si>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</si>
  <si>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</si>
  <si>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</si>
  <si>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</si>
  <si>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</si>
  <si>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</si>
  <si>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</si>
  <si>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</si>
  <si>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</si>
  <si>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</si>
  <si>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</si>
  <si>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</si>
  <si>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</si>
  <si>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</si>
  <si>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</si>
  <si>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</si>
  <si>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</si>
  <si>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</si>
  <si>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</si>
  <si>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</si>
  <si>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</si>
  <si>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</si>
  <si>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</si>
  <si>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</si>
  <si>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</si>
  <si>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</si>
  <si>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</si>
  <si>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</si>
  <si>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</si>
  <si>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</si>
  <si>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</si>
  <si>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</si>
  <si>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</si>
  <si>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</si>
  <si>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</si>
  <si>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</si>
  <si>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</si>
  <si>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</si>
  <si>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</si>
  <si>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</si>
  <si>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</si>
  <si>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</si>
  <si>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</si>
  <si>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</si>
  <si>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</si>
  <si>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</si>
  <si>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</si>
  <si>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</si>
  <si>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</si>
  <si>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</si>
  <si>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</si>
  <si>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</si>
  <si>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</si>
  <si>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</si>
  <si>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</si>
  <si>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</si>
  <si>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</si>
  <si>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Mean</t>
  </si>
  <si>
    <t>Standard Error</t>
  </si>
  <si>
    <t>Median</t>
  </si>
  <si>
    <t>Mode</t>
  </si>
  <si>
    <t>Standard Deviation</t>
  </si>
  <si>
    <t>Sample Variance</t>
  </si>
  <si>
    <t>Kurtosis</t>
  </si>
  <si>
    <t>Skewness</t>
  </si>
  <si>
    <t>Range</t>
  </si>
  <si>
    <t>Minimum</t>
  </si>
  <si>
    <t>Maximum</t>
  </si>
  <si>
    <t>Sum</t>
  </si>
  <si>
    <t>Count</t>
  </si>
  <si>
    <t>Largest(2)</t>
  </si>
  <si>
    <t>Smallest(2)</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</si>
  <si>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</si>
  <si>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</si>
  <si>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</si>
  <si>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</si>
  <si>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</si>
  <si>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</si>
  <si>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</si>
  <si>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</si>
  <si>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</si>
  <si>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</si>
  <si>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</si>
  <si>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</si>
  <si>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</si>
  <si>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</si>
  <si>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</si>
  <si>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</si>
  <si>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</si>
  <si>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</si>
  <si>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</si>
  <si>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</si>
  <si>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</si>
  <si>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</si>
  <si>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</si>
  <si>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</si>
  <si>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</si>
  <si>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Sales</t>
  </si>
  <si>
    <t>Residuals</t>
  </si>
  <si>
    <t>Total parchase</t>
  </si>
  <si>
    <t>Row Labels</t>
  </si>
  <si>
    <t>Grand Total</t>
  </si>
  <si>
    <t>Sum of Sales</t>
  </si>
  <si>
    <t>2024</t>
  </si>
  <si>
    <t>2025</t>
  </si>
  <si>
    <t>Apr</t>
  </si>
  <si>
    <t>May</t>
  </si>
  <si>
    <t>Jun</t>
  </si>
  <si>
    <t>Jul</t>
  </si>
  <si>
    <t>Aug</t>
  </si>
  <si>
    <t>Sep</t>
  </si>
  <si>
    <t>Oct</t>
  </si>
  <si>
    <t>Nov</t>
  </si>
  <si>
    <t>Dec</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</si>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</sst>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_ [$₹-4009]\ * #,##0.00_ ;_ [$₹-4009]\ * \-#,##0.00_ ;_ [$₹-4009]\ * &quot;-&quot;??_ ;_ @_ "/>
  </numFmts>
  <fonts count="9" x14ac:knownFonts="1">
    <font>
      <sz val="11"/>
      <color theme="1"/>
      <name val="Calibri"/>
      <scheme val="minor"/>
    </font>
    <font>
      <b/>
      <sz val="11"/>
      <color theme="1"/>
      <name val="Calibri"/>
    </font>
    <font>
      <sz val="11"/>
      <color theme="1"/>
      <name val="Calibri"/>
    </font>
    <font>
      <b/>
      <sz val="11"/>
      <color theme="1"/>
      <name val="Calibri"/>
      <scheme val="minor"/>
    </font>
    <font>
      <sz val="11"/>
      <color theme="1"/>
      <name val="Calibri"/>
      <scheme val="minor"/>
    </font>
    <font>
      <b/>
      <sz val="11"/>
      <color rgb="FF38761D"/>
      <name val="Calibri"/>
    </font>
    <font>
      <sz val="11"/>
      <color rgb="FF38761D"/>
      <name val="Calibri"/>
    </font>
    <font>
      <b/>
      <sz val="11"/>
      <color theme="1"/>
      <name val="Calibri"/>
      <family val="2"/>
      <scheme val="minor"/>
    </font>
    <font>
      <i/>
      <sz val="11"/>
      <color theme="1"/>
      <name val="Calibri"/>
      <family val="2"/>
      <scheme val="minor"/>
    </font>
  </fonts>
  <fills count="6">
    <fill>
      <patternFill patternType="none"/>
    </fill>
    <fill>
      <patternFill patternType="gray125"/>
    </fill>
    <fill>
      <patternFill patternType="solid">
        <fgColor rgb="FFFFF2CC"/>
        <bgColor rgb="FFFFF2CC"/>
      </patternFill>
    </fill>
    <fill>
      <patternFill patternType="solid">
        <fgColor theme="5"/>
        <bgColor indexed="64"/>
      </patternFill>
    </fill>
    <fill>
      <patternFill patternType="solid">
        <fgColor theme="4" tint="0.39997558519241921"/>
        <bgColor indexed="64"/>
      </patternFill>
    </fill>
    <fill>
      <patternFill patternType="solid">
        <fgColor theme="6"/>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xf>
    <xf numFmtId="0" fontId="2" fillId="0" borderId="0" xfId="0" applyFont="1"/>
    <xf numFmtId="0" fontId="2" fillId="0" borderId="1" xfId="0" applyFont="1" applyBorder="1"/>
    <xf numFmtId="0" fontId="3" fillId="0" borderId="0" xfId="0" applyFont="1"/>
    <xf numFmtId="0" fontId="4" fillId="0" borderId="0" xfId="0" applyFont="1"/>
    <xf numFmtId="164" fontId="4" fillId="0" borderId="0" xfId="0" applyNumberFormat="1" applyFont="1"/>
    <xf numFmtId="0" fontId="0" fillId="0" borderId="0" xfId="0" applyFill="1" applyBorder="1" applyAlignment="1"/>
    <xf numFmtId="0" fontId="0" fillId="0" borderId="2" xfId="0" applyFill="1" applyBorder="1" applyAlignment="1"/>
    <xf numFmtId="0" fontId="8" fillId="0" borderId="3" xfId="0" applyFont="1" applyFill="1" applyBorder="1" applyAlignment="1">
      <alignment horizontal="center"/>
    </xf>
    <xf numFmtId="0" fontId="8" fillId="0" borderId="3" xfId="0" applyFont="1" applyFill="1" applyBorder="1" applyAlignment="1">
      <alignment horizontal="centerContinuous"/>
    </xf>
    <xf numFmtId="0" fontId="8" fillId="3" borderId="0" xfId="0" applyFont="1" applyFill="1" applyBorder="1" applyAlignment="1">
      <alignment horizontal="center"/>
    </xf>
    <xf numFmtId="0" fontId="0" fillId="4" borderId="0" xfId="0" applyFill="1" applyBorder="1" applyAlignment="1"/>
    <xf numFmtId="0" fontId="0" fillId="4" borderId="2" xfId="0" applyFill="1" applyBorder="1" applyAlignment="1"/>
    <xf numFmtId="0" fontId="0" fillId="5" borderId="0" xfId="0" applyFill="1" applyBorder="1" applyAlignment="1"/>
    <xf numFmtId="0" fontId="0" fillId="5" borderId="2" xfId="0" applyFill="1" applyBorder="1" applyAlignment="1"/>
    <xf numFmtId="0" fontId="7" fillId="0" borderId="0" xfId="0" applyFont="1"/>
    <xf numFmtId="22" fontId="3"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65" fontId="0" fillId="0" borderId="0" xfId="0" applyNumberFormat="1"/>
  </cellXfs>
  <cellStyles count="1">
    <cellStyle name="Normal" xfId="0" builtinId="0"/>
  </cellStyles>
  <dxfs count="12">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by Profit </a:t>
            </a:r>
            <a:r>
              <a:rPr lang="en-IN"/>
              <a:t>Plot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v>Sales</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prstDash val="sysDash"/>
              </a:ln>
              <a:effectLst/>
            </c:spPr>
            <c:trendlineType val="linear"/>
            <c:dispRSqr val="0"/>
            <c:dispEq val="0"/>
          </c:trendline>
          <c:xVal>
            <c:numRef>
              <c:f>Dataset!$I$2:$I$201</c:f>
              <c:numCache>
                <c:formatCode>General</c:formatCode>
                <c:ptCount val="200"/>
                <c:pt idx="0">
                  <c:v>331.55</c:v>
                </c:pt>
                <c:pt idx="1">
                  <c:v>440.51</c:v>
                </c:pt>
                <c:pt idx="2">
                  <c:v>285.33999999999997</c:v>
                </c:pt>
                <c:pt idx="3">
                  <c:v>161.69999999999999</c:v>
                </c:pt>
                <c:pt idx="4">
                  <c:v>271.04000000000002</c:v>
                </c:pt>
                <c:pt idx="5">
                  <c:v>304.18</c:v>
                </c:pt>
                <c:pt idx="6">
                  <c:v>312.91000000000003</c:v>
                </c:pt>
                <c:pt idx="7">
                  <c:v>300.85000000000002</c:v>
                </c:pt>
                <c:pt idx="8">
                  <c:v>190.59</c:v>
                </c:pt>
                <c:pt idx="9">
                  <c:v>350.22</c:v>
                </c:pt>
                <c:pt idx="10">
                  <c:v>672.38</c:v>
                </c:pt>
                <c:pt idx="11">
                  <c:v>456.66</c:v>
                </c:pt>
                <c:pt idx="12">
                  <c:v>452.8</c:v>
                </c:pt>
                <c:pt idx="13">
                  <c:v>273.41000000000003</c:v>
                </c:pt>
                <c:pt idx="14">
                  <c:v>155.19999999999999</c:v>
                </c:pt>
                <c:pt idx="15">
                  <c:v>300.58999999999997</c:v>
                </c:pt>
                <c:pt idx="16">
                  <c:v>298.38</c:v>
                </c:pt>
                <c:pt idx="17">
                  <c:v>203.74</c:v>
                </c:pt>
                <c:pt idx="18">
                  <c:v>481.96</c:v>
                </c:pt>
                <c:pt idx="19">
                  <c:v>161.26</c:v>
                </c:pt>
                <c:pt idx="20">
                  <c:v>476.65</c:v>
                </c:pt>
                <c:pt idx="21">
                  <c:v>82.57</c:v>
                </c:pt>
                <c:pt idx="22">
                  <c:v>297.27</c:v>
                </c:pt>
                <c:pt idx="23">
                  <c:v>176.59</c:v>
                </c:pt>
                <c:pt idx="24">
                  <c:v>374.75</c:v>
                </c:pt>
                <c:pt idx="25">
                  <c:v>293.27999999999997</c:v>
                </c:pt>
                <c:pt idx="26">
                  <c:v>236.44</c:v>
                </c:pt>
                <c:pt idx="27">
                  <c:v>356.85</c:v>
                </c:pt>
                <c:pt idx="28">
                  <c:v>398.25</c:v>
                </c:pt>
                <c:pt idx="29">
                  <c:v>160.24</c:v>
                </c:pt>
                <c:pt idx="30">
                  <c:v>326.41000000000003</c:v>
                </c:pt>
                <c:pt idx="31">
                  <c:v>388.82</c:v>
                </c:pt>
                <c:pt idx="32">
                  <c:v>253.98</c:v>
                </c:pt>
                <c:pt idx="33">
                  <c:v>217.78</c:v>
                </c:pt>
                <c:pt idx="34">
                  <c:v>513.38</c:v>
                </c:pt>
                <c:pt idx="35">
                  <c:v>151.16</c:v>
                </c:pt>
                <c:pt idx="36">
                  <c:v>359.49</c:v>
                </c:pt>
                <c:pt idx="37">
                  <c:v>468.84</c:v>
                </c:pt>
                <c:pt idx="38">
                  <c:v>229.99</c:v>
                </c:pt>
                <c:pt idx="39">
                  <c:v>197.35</c:v>
                </c:pt>
                <c:pt idx="40">
                  <c:v>414.44</c:v>
                </c:pt>
                <c:pt idx="41">
                  <c:v>369.35</c:v>
                </c:pt>
                <c:pt idx="42">
                  <c:v>212.83</c:v>
                </c:pt>
                <c:pt idx="43">
                  <c:v>302.70999999999998</c:v>
                </c:pt>
                <c:pt idx="44">
                  <c:v>365.11</c:v>
                </c:pt>
                <c:pt idx="45">
                  <c:v>214.18</c:v>
                </c:pt>
                <c:pt idx="46">
                  <c:v>468.72</c:v>
                </c:pt>
                <c:pt idx="47">
                  <c:v>450.71</c:v>
                </c:pt>
                <c:pt idx="48">
                  <c:v>332.32</c:v>
                </c:pt>
                <c:pt idx="49">
                  <c:v>174.48</c:v>
                </c:pt>
                <c:pt idx="50">
                  <c:v>242.6</c:v>
                </c:pt>
                <c:pt idx="51">
                  <c:v>551.98</c:v>
                </c:pt>
                <c:pt idx="52">
                  <c:v>380.43</c:v>
                </c:pt>
                <c:pt idx="53">
                  <c:v>339.44</c:v>
                </c:pt>
                <c:pt idx="54">
                  <c:v>173.99</c:v>
                </c:pt>
                <c:pt idx="55">
                  <c:v>257.33</c:v>
                </c:pt>
                <c:pt idx="56">
                  <c:v>389.3</c:v>
                </c:pt>
                <c:pt idx="57">
                  <c:v>148.32</c:v>
                </c:pt>
                <c:pt idx="58">
                  <c:v>449.58</c:v>
                </c:pt>
                <c:pt idx="59">
                  <c:v>680.18</c:v>
                </c:pt>
                <c:pt idx="60">
                  <c:v>497.99</c:v>
                </c:pt>
                <c:pt idx="61">
                  <c:v>220.05</c:v>
                </c:pt>
                <c:pt idx="62">
                  <c:v>294.12</c:v>
                </c:pt>
                <c:pt idx="63">
                  <c:v>201.11</c:v>
                </c:pt>
                <c:pt idx="64">
                  <c:v>261.27</c:v>
                </c:pt>
                <c:pt idx="65">
                  <c:v>307.82</c:v>
                </c:pt>
                <c:pt idx="66">
                  <c:v>333.05</c:v>
                </c:pt>
                <c:pt idx="67">
                  <c:v>455.97</c:v>
                </c:pt>
                <c:pt idx="68">
                  <c:v>242.31</c:v>
                </c:pt>
                <c:pt idx="69">
                  <c:v>344.06</c:v>
                </c:pt>
                <c:pt idx="70">
                  <c:v>144.56</c:v>
                </c:pt>
                <c:pt idx="71">
                  <c:v>441.54</c:v>
                </c:pt>
                <c:pt idx="72">
                  <c:v>114.7</c:v>
                </c:pt>
                <c:pt idx="73">
                  <c:v>257.42</c:v>
                </c:pt>
                <c:pt idx="74">
                  <c:v>305.32</c:v>
                </c:pt>
                <c:pt idx="75">
                  <c:v>258.24</c:v>
                </c:pt>
                <c:pt idx="76">
                  <c:v>441.47</c:v>
                </c:pt>
                <c:pt idx="77">
                  <c:v>172.26</c:v>
                </c:pt>
                <c:pt idx="78">
                  <c:v>500.1</c:v>
                </c:pt>
                <c:pt idx="79">
                  <c:v>581.16</c:v>
                </c:pt>
                <c:pt idx="80">
                  <c:v>271.88</c:v>
                </c:pt>
                <c:pt idx="81">
                  <c:v>400.29</c:v>
                </c:pt>
                <c:pt idx="82">
                  <c:v>177.77</c:v>
                </c:pt>
                <c:pt idx="83">
                  <c:v>406.86</c:v>
                </c:pt>
                <c:pt idx="84">
                  <c:v>526</c:v>
                </c:pt>
                <c:pt idx="85">
                  <c:v>333.97</c:v>
                </c:pt>
                <c:pt idx="86">
                  <c:v>305.8</c:v>
                </c:pt>
                <c:pt idx="87">
                  <c:v>649.79</c:v>
                </c:pt>
                <c:pt idx="88">
                  <c:v>441.53</c:v>
                </c:pt>
                <c:pt idx="89">
                  <c:v>480.51</c:v>
                </c:pt>
                <c:pt idx="90">
                  <c:v>346.99</c:v>
                </c:pt>
                <c:pt idx="91">
                  <c:v>229.23</c:v>
                </c:pt>
                <c:pt idx="92">
                  <c:v>334.84</c:v>
                </c:pt>
                <c:pt idx="93">
                  <c:v>231.79</c:v>
                </c:pt>
                <c:pt idx="94">
                  <c:v>328.54</c:v>
                </c:pt>
                <c:pt idx="95">
                  <c:v>366.99</c:v>
                </c:pt>
                <c:pt idx="96">
                  <c:v>348.96</c:v>
                </c:pt>
                <c:pt idx="97">
                  <c:v>542.62</c:v>
                </c:pt>
                <c:pt idx="98">
                  <c:v>297.69</c:v>
                </c:pt>
                <c:pt idx="99">
                  <c:v>451.1</c:v>
                </c:pt>
                <c:pt idx="100">
                  <c:v>210.95</c:v>
                </c:pt>
                <c:pt idx="101">
                  <c:v>445.59</c:v>
                </c:pt>
                <c:pt idx="102">
                  <c:v>202.82</c:v>
                </c:pt>
                <c:pt idx="103">
                  <c:v>231.32</c:v>
                </c:pt>
                <c:pt idx="104">
                  <c:v>450.29</c:v>
                </c:pt>
                <c:pt idx="105">
                  <c:v>307.72000000000003</c:v>
                </c:pt>
                <c:pt idx="106">
                  <c:v>367.59</c:v>
                </c:pt>
                <c:pt idx="107">
                  <c:v>769.46</c:v>
                </c:pt>
                <c:pt idx="108">
                  <c:v>327.92</c:v>
                </c:pt>
                <c:pt idx="109">
                  <c:v>553.29999999999995</c:v>
                </c:pt>
                <c:pt idx="110">
                  <c:v>352.86</c:v>
                </c:pt>
                <c:pt idx="111">
                  <c:v>313.91000000000003</c:v>
                </c:pt>
                <c:pt idx="112">
                  <c:v>355.1</c:v>
                </c:pt>
                <c:pt idx="113">
                  <c:v>192.76</c:v>
                </c:pt>
                <c:pt idx="114">
                  <c:v>264.44</c:v>
                </c:pt>
                <c:pt idx="115">
                  <c:v>172.21</c:v>
                </c:pt>
                <c:pt idx="116">
                  <c:v>474.66</c:v>
                </c:pt>
                <c:pt idx="117">
                  <c:v>433.58</c:v>
                </c:pt>
                <c:pt idx="118">
                  <c:v>343.6</c:v>
                </c:pt>
                <c:pt idx="119">
                  <c:v>318.3</c:v>
                </c:pt>
                <c:pt idx="120">
                  <c:v>358.41</c:v>
                </c:pt>
                <c:pt idx="121">
                  <c:v>581.5</c:v>
                </c:pt>
                <c:pt idx="122">
                  <c:v>410.9</c:v>
                </c:pt>
                <c:pt idx="123">
                  <c:v>179.51</c:v>
                </c:pt>
                <c:pt idx="124">
                  <c:v>511.14</c:v>
                </c:pt>
                <c:pt idx="125">
                  <c:v>150.18</c:v>
                </c:pt>
                <c:pt idx="126">
                  <c:v>352.65</c:v>
                </c:pt>
                <c:pt idx="127">
                  <c:v>472.62</c:v>
                </c:pt>
                <c:pt idx="128">
                  <c:v>195.33</c:v>
                </c:pt>
                <c:pt idx="129">
                  <c:v>64.63</c:v>
                </c:pt>
                <c:pt idx="130">
                  <c:v>461.12</c:v>
                </c:pt>
                <c:pt idx="131">
                  <c:v>437.11</c:v>
                </c:pt>
                <c:pt idx="132">
                  <c:v>268.97000000000003</c:v>
                </c:pt>
                <c:pt idx="133">
                  <c:v>265.26</c:v>
                </c:pt>
                <c:pt idx="134">
                  <c:v>178.91</c:v>
                </c:pt>
                <c:pt idx="135">
                  <c:v>356.5</c:v>
                </c:pt>
                <c:pt idx="136">
                  <c:v>229.65</c:v>
                </c:pt>
                <c:pt idx="137">
                  <c:v>121.54</c:v>
                </c:pt>
                <c:pt idx="138">
                  <c:v>268</c:v>
                </c:pt>
                <c:pt idx="139">
                  <c:v>426.16</c:v>
                </c:pt>
                <c:pt idx="140">
                  <c:v>316.32</c:v>
                </c:pt>
                <c:pt idx="141">
                  <c:v>492.5</c:v>
                </c:pt>
                <c:pt idx="142">
                  <c:v>232.33</c:v>
                </c:pt>
                <c:pt idx="143">
                  <c:v>165.97</c:v>
                </c:pt>
                <c:pt idx="144">
                  <c:v>675.5</c:v>
                </c:pt>
                <c:pt idx="145">
                  <c:v>134.66</c:v>
                </c:pt>
                <c:pt idx="146">
                  <c:v>487.36</c:v>
                </c:pt>
                <c:pt idx="147">
                  <c:v>314.74</c:v>
                </c:pt>
                <c:pt idx="148">
                  <c:v>111.39</c:v>
                </c:pt>
                <c:pt idx="149">
                  <c:v>318.47000000000003</c:v>
                </c:pt>
                <c:pt idx="150">
                  <c:v>301.75</c:v>
                </c:pt>
                <c:pt idx="151">
                  <c:v>413.36</c:v>
                </c:pt>
                <c:pt idx="152">
                  <c:v>286.68</c:v>
                </c:pt>
                <c:pt idx="153">
                  <c:v>556.30999999999995</c:v>
                </c:pt>
                <c:pt idx="154">
                  <c:v>332.19</c:v>
                </c:pt>
                <c:pt idx="155">
                  <c:v>336.24</c:v>
                </c:pt>
                <c:pt idx="156">
                  <c:v>180.39</c:v>
                </c:pt>
                <c:pt idx="157">
                  <c:v>484.35</c:v>
                </c:pt>
                <c:pt idx="158">
                  <c:v>562.82000000000005</c:v>
                </c:pt>
                <c:pt idx="159">
                  <c:v>447.34</c:v>
                </c:pt>
                <c:pt idx="160">
                  <c:v>649.04999999999995</c:v>
                </c:pt>
                <c:pt idx="161">
                  <c:v>205</c:v>
                </c:pt>
                <c:pt idx="162">
                  <c:v>263.32</c:v>
                </c:pt>
                <c:pt idx="163">
                  <c:v>443.99</c:v>
                </c:pt>
                <c:pt idx="164">
                  <c:v>395.31</c:v>
                </c:pt>
                <c:pt idx="165">
                  <c:v>335.04</c:v>
                </c:pt>
                <c:pt idx="166">
                  <c:v>333.85</c:v>
                </c:pt>
                <c:pt idx="167">
                  <c:v>531.05999999999995</c:v>
                </c:pt>
                <c:pt idx="168">
                  <c:v>232.19</c:v>
                </c:pt>
                <c:pt idx="169">
                  <c:v>223.04</c:v>
                </c:pt>
                <c:pt idx="170">
                  <c:v>422.92</c:v>
                </c:pt>
                <c:pt idx="171">
                  <c:v>257.45</c:v>
                </c:pt>
                <c:pt idx="172">
                  <c:v>380.75</c:v>
                </c:pt>
                <c:pt idx="173">
                  <c:v>225.37</c:v>
                </c:pt>
                <c:pt idx="174">
                  <c:v>582.55999999999995</c:v>
                </c:pt>
                <c:pt idx="175">
                  <c:v>344.91</c:v>
                </c:pt>
                <c:pt idx="176">
                  <c:v>330.79</c:v>
                </c:pt>
                <c:pt idx="177">
                  <c:v>460</c:v>
                </c:pt>
                <c:pt idx="178">
                  <c:v>439.88</c:v>
                </c:pt>
                <c:pt idx="179">
                  <c:v>255.79</c:v>
                </c:pt>
                <c:pt idx="180">
                  <c:v>159.74</c:v>
                </c:pt>
                <c:pt idx="181">
                  <c:v>404.39</c:v>
                </c:pt>
                <c:pt idx="182">
                  <c:v>187.57</c:v>
                </c:pt>
                <c:pt idx="183">
                  <c:v>410.87</c:v>
                </c:pt>
                <c:pt idx="184">
                  <c:v>275.77999999999997</c:v>
                </c:pt>
                <c:pt idx="185">
                  <c:v>746.74</c:v>
                </c:pt>
                <c:pt idx="186">
                  <c:v>310.24</c:v>
                </c:pt>
                <c:pt idx="187">
                  <c:v>341.12</c:v>
                </c:pt>
                <c:pt idx="188">
                  <c:v>91.71</c:v>
                </c:pt>
                <c:pt idx="189">
                  <c:v>331.59</c:v>
                </c:pt>
                <c:pt idx="190">
                  <c:v>381.07</c:v>
                </c:pt>
                <c:pt idx="191">
                  <c:v>255.24</c:v>
                </c:pt>
                <c:pt idx="192">
                  <c:v>692.05</c:v>
                </c:pt>
                <c:pt idx="193">
                  <c:v>344.41</c:v>
                </c:pt>
                <c:pt idx="194">
                  <c:v>397.06</c:v>
                </c:pt>
                <c:pt idx="195">
                  <c:v>586.14</c:v>
                </c:pt>
                <c:pt idx="196">
                  <c:v>333.36</c:v>
                </c:pt>
                <c:pt idx="197">
                  <c:v>245.45</c:v>
                </c:pt>
                <c:pt idx="198">
                  <c:v>379.09</c:v>
                </c:pt>
                <c:pt idx="199">
                  <c:v>440.95</c:v>
                </c:pt>
              </c:numCache>
            </c:numRef>
          </c:xVal>
          <c:yVal>
            <c:numRef>
              <c:f>Dataset!$E$2:$E$201</c:f>
              <c:numCache>
                <c:formatCode>General</c:formatCode>
                <c:ptCount val="200"/>
                <c:pt idx="0">
                  <c:v>1036.0899999999999</c:v>
                </c:pt>
                <c:pt idx="1">
                  <c:v>1101.28</c:v>
                </c:pt>
                <c:pt idx="2">
                  <c:v>713.34</c:v>
                </c:pt>
                <c:pt idx="3">
                  <c:v>760.93</c:v>
                </c:pt>
                <c:pt idx="4">
                  <c:v>847</c:v>
                </c:pt>
                <c:pt idx="5">
                  <c:v>965.64</c:v>
                </c:pt>
                <c:pt idx="6">
                  <c:v>1317.53</c:v>
                </c:pt>
                <c:pt idx="7">
                  <c:v>1074.47</c:v>
                </c:pt>
                <c:pt idx="8">
                  <c:v>501.54</c:v>
                </c:pt>
                <c:pt idx="9">
                  <c:v>737.31</c:v>
                </c:pt>
                <c:pt idx="10">
                  <c:v>1572.82</c:v>
                </c:pt>
                <c:pt idx="11">
                  <c:v>1343.13</c:v>
                </c:pt>
                <c:pt idx="12">
                  <c:v>1191.58</c:v>
                </c:pt>
                <c:pt idx="13">
                  <c:v>822.28</c:v>
                </c:pt>
                <c:pt idx="14">
                  <c:v>521.66999999999996</c:v>
                </c:pt>
                <c:pt idx="15">
                  <c:v>1502.93</c:v>
                </c:pt>
                <c:pt idx="16">
                  <c:v>877.58</c:v>
                </c:pt>
                <c:pt idx="17">
                  <c:v>636.70000000000005</c:v>
                </c:pt>
                <c:pt idx="18">
                  <c:v>1506.14</c:v>
                </c:pt>
                <c:pt idx="19">
                  <c:v>645.02</c:v>
                </c:pt>
                <c:pt idx="20">
                  <c:v>953.3</c:v>
                </c:pt>
                <c:pt idx="21">
                  <c:v>388.56</c:v>
                </c:pt>
                <c:pt idx="22">
                  <c:v>743.17</c:v>
                </c:pt>
                <c:pt idx="23">
                  <c:v>706.37</c:v>
                </c:pt>
                <c:pt idx="24">
                  <c:v>925.31</c:v>
                </c:pt>
                <c:pt idx="25">
                  <c:v>1173.1199999999999</c:v>
                </c:pt>
                <c:pt idx="26">
                  <c:v>675.54</c:v>
                </c:pt>
                <c:pt idx="27">
                  <c:v>939.09</c:v>
                </c:pt>
                <c:pt idx="28">
                  <c:v>983.34</c:v>
                </c:pt>
                <c:pt idx="29">
                  <c:v>801.21</c:v>
                </c:pt>
                <c:pt idx="30">
                  <c:v>1450.71</c:v>
                </c:pt>
                <c:pt idx="31">
                  <c:v>1023.21</c:v>
                </c:pt>
                <c:pt idx="32">
                  <c:v>853.72</c:v>
                </c:pt>
                <c:pt idx="33">
                  <c:v>967.89</c:v>
                </c:pt>
                <c:pt idx="34">
                  <c:v>1200.9000000000001</c:v>
                </c:pt>
                <c:pt idx="35">
                  <c:v>472.38</c:v>
                </c:pt>
                <c:pt idx="36">
                  <c:v>840.92</c:v>
                </c:pt>
                <c:pt idx="37">
                  <c:v>1410.06</c:v>
                </c:pt>
                <c:pt idx="38">
                  <c:v>773.09</c:v>
                </c:pt>
                <c:pt idx="39">
                  <c:v>580.42999999999995</c:v>
                </c:pt>
                <c:pt idx="40">
                  <c:v>1151.21</c:v>
                </c:pt>
                <c:pt idx="41">
                  <c:v>1025.98</c:v>
                </c:pt>
                <c:pt idx="42">
                  <c:v>556.41999999999996</c:v>
                </c:pt>
                <c:pt idx="43">
                  <c:v>840.85</c:v>
                </c:pt>
                <c:pt idx="44">
                  <c:v>1227.25</c:v>
                </c:pt>
                <c:pt idx="45">
                  <c:v>856.7</c:v>
                </c:pt>
                <c:pt idx="46">
                  <c:v>1225.42</c:v>
                </c:pt>
                <c:pt idx="47">
                  <c:v>1001.57</c:v>
                </c:pt>
                <c:pt idx="48">
                  <c:v>1186.8499999999999</c:v>
                </c:pt>
                <c:pt idx="49">
                  <c:v>775.45</c:v>
                </c:pt>
                <c:pt idx="50">
                  <c:v>1021.47</c:v>
                </c:pt>
                <c:pt idx="51">
                  <c:v>1226.6199999999999</c:v>
                </c:pt>
                <c:pt idx="52">
                  <c:v>1086.93</c:v>
                </c:pt>
                <c:pt idx="53">
                  <c:v>942.9</c:v>
                </c:pt>
                <c:pt idx="54">
                  <c:v>818.8</c:v>
                </c:pt>
                <c:pt idx="55">
                  <c:v>919.04</c:v>
                </c:pt>
                <c:pt idx="56">
                  <c:v>973.26</c:v>
                </c:pt>
                <c:pt idx="57">
                  <c:v>741.61</c:v>
                </c:pt>
                <c:pt idx="58">
                  <c:v>1248.82</c:v>
                </c:pt>
                <c:pt idx="59">
                  <c:v>1360.36</c:v>
                </c:pt>
                <c:pt idx="60">
                  <c:v>1383.3</c:v>
                </c:pt>
                <c:pt idx="61">
                  <c:v>488.99</c:v>
                </c:pt>
                <c:pt idx="62">
                  <c:v>933.71</c:v>
                </c:pt>
                <c:pt idx="63">
                  <c:v>1005.53</c:v>
                </c:pt>
                <c:pt idx="64">
                  <c:v>1100.0999999999999</c:v>
                </c:pt>
                <c:pt idx="65">
                  <c:v>1034.7</c:v>
                </c:pt>
                <c:pt idx="66">
                  <c:v>876.44</c:v>
                </c:pt>
                <c:pt idx="67">
                  <c:v>1371.34</c:v>
                </c:pt>
                <c:pt idx="68">
                  <c:v>1020.26</c:v>
                </c:pt>
                <c:pt idx="69">
                  <c:v>804.81</c:v>
                </c:pt>
                <c:pt idx="70">
                  <c:v>608.66</c:v>
                </c:pt>
                <c:pt idx="71">
                  <c:v>981.2</c:v>
                </c:pt>
                <c:pt idx="72">
                  <c:v>539.77</c:v>
                </c:pt>
                <c:pt idx="73">
                  <c:v>804.45</c:v>
                </c:pt>
                <c:pt idx="74">
                  <c:v>1526.6</c:v>
                </c:pt>
                <c:pt idx="75">
                  <c:v>1215.26</c:v>
                </c:pt>
                <c:pt idx="76">
                  <c:v>1261.3399999999999</c:v>
                </c:pt>
                <c:pt idx="77">
                  <c:v>518.07000000000005</c:v>
                </c:pt>
                <c:pt idx="78">
                  <c:v>1111.3399999999999</c:v>
                </c:pt>
                <c:pt idx="79">
                  <c:v>1291.47</c:v>
                </c:pt>
                <c:pt idx="80">
                  <c:v>679.71</c:v>
                </c:pt>
                <c:pt idx="81">
                  <c:v>1143.69</c:v>
                </c:pt>
                <c:pt idx="82">
                  <c:v>790.08</c:v>
                </c:pt>
                <c:pt idx="83">
                  <c:v>1070.68</c:v>
                </c:pt>
                <c:pt idx="84">
                  <c:v>1168.8900000000001</c:v>
                </c:pt>
                <c:pt idx="85">
                  <c:v>1335.87</c:v>
                </c:pt>
                <c:pt idx="86">
                  <c:v>873.7</c:v>
                </c:pt>
                <c:pt idx="87">
                  <c:v>1443.98</c:v>
                </c:pt>
                <c:pt idx="88">
                  <c:v>1154.33</c:v>
                </c:pt>
                <c:pt idx="89">
                  <c:v>1264.49</c:v>
                </c:pt>
                <c:pt idx="90">
                  <c:v>1101.55</c:v>
                </c:pt>
                <c:pt idx="91">
                  <c:v>727.73</c:v>
                </c:pt>
                <c:pt idx="92">
                  <c:v>875.41</c:v>
                </c:pt>
                <c:pt idx="93">
                  <c:v>1158.94</c:v>
                </c:pt>
                <c:pt idx="94">
                  <c:v>966.3</c:v>
                </c:pt>
                <c:pt idx="95">
                  <c:v>917.48</c:v>
                </c:pt>
                <c:pt idx="96">
                  <c:v>1172.97</c:v>
                </c:pt>
                <c:pt idx="97">
                  <c:v>1205.82</c:v>
                </c:pt>
                <c:pt idx="98">
                  <c:v>826.93</c:v>
                </c:pt>
                <c:pt idx="99">
                  <c:v>902.19</c:v>
                </c:pt>
                <c:pt idx="100">
                  <c:v>585.97</c:v>
                </c:pt>
                <c:pt idx="101">
                  <c:v>990.19</c:v>
                </c:pt>
                <c:pt idx="102">
                  <c:v>1014.09</c:v>
                </c:pt>
                <c:pt idx="103">
                  <c:v>925.29</c:v>
                </c:pt>
                <c:pt idx="104">
                  <c:v>1286.54</c:v>
                </c:pt>
                <c:pt idx="105">
                  <c:v>961.62</c:v>
                </c:pt>
                <c:pt idx="106">
                  <c:v>1081.1400000000001</c:v>
                </c:pt>
                <c:pt idx="107">
                  <c:v>1923.66</c:v>
                </c:pt>
                <c:pt idx="108">
                  <c:v>728.71</c:v>
                </c:pt>
                <c:pt idx="109">
                  <c:v>1301.8900000000001</c:v>
                </c:pt>
                <c:pt idx="110">
                  <c:v>980.18</c:v>
                </c:pt>
                <c:pt idx="111">
                  <c:v>697.57</c:v>
                </c:pt>
                <c:pt idx="112">
                  <c:v>1193.6099999999999</c:v>
                </c:pt>
                <c:pt idx="113">
                  <c:v>771.02</c:v>
                </c:pt>
                <c:pt idx="114">
                  <c:v>661.09</c:v>
                </c:pt>
                <c:pt idx="115">
                  <c:v>688.83</c:v>
                </c:pt>
                <c:pt idx="116">
                  <c:v>1249.0999999999999</c:v>
                </c:pt>
                <c:pt idx="117">
                  <c:v>1014.22</c:v>
                </c:pt>
                <c:pt idx="118">
                  <c:v>1010.58</c:v>
                </c:pt>
                <c:pt idx="119">
                  <c:v>957.29</c:v>
                </c:pt>
                <c:pt idx="120">
                  <c:v>1077.92</c:v>
                </c:pt>
                <c:pt idx="121">
                  <c:v>1163.01</c:v>
                </c:pt>
                <c:pt idx="122">
                  <c:v>1014.56</c:v>
                </c:pt>
                <c:pt idx="123">
                  <c:v>718.04</c:v>
                </c:pt>
                <c:pt idx="124">
                  <c:v>1277.8499999999999</c:v>
                </c:pt>
                <c:pt idx="125">
                  <c:v>706.73</c:v>
                </c:pt>
                <c:pt idx="126">
                  <c:v>1410.59</c:v>
                </c:pt>
                <c:pt idx="127">
                  <c:v>1350.33</c:v>
                </c:pt>
                <c:pt idx="128">
                  <c:v>919.18</c:v>
                </c:pt>
                <c:pt idx="129">
                  <c:v>258.51</c:v>
                </c:pt>
                <c:pt idx="130">
                  <c:v>1213.48</c:v>
                </c:pt>
                <c:pt idx="131">
                  <c:v>1150.28</c:v>
                </c:pt>
                <c:pt idx="132">
                  <c:v>853.86</c:v>
                </c:pt>
                <c:pt idx="133">
                  <c:v>1061.04</c:v>
                </c:pt>
                <c:pt idx="134">
                  <c:v>894.55</c:v>
                </c:pt>
                <c:pt idx="135">
                  <c:v>833.91</c:v>
                </c:pt>
                <c:pt idx="136">
                  <c:v>820.19</c:v>
                </c:pt>
                <c:pt idx="137">
                  <c:v>511.74</c:v>
                </c:pt>
                <c:pt idx="138">
                  <c:v>806.03</c:v>
                </c:pt>
                <c:pt idx="139">
                  <c:v>1432.47</c:v>
                </c:pt>
                <c:pt idx="140">
                  <c:v>1488.58</c:v>
                </c:pt>
                <c:pt idx="141">
                  <c:v>1231.26</c:v>
                </c:pt>
                <c:pt idx="142">
                  <c:v>1161.67</c:v>
                </c:pt>
                <c:pt idx="143">
                  <c:v>388.23</c:v>
                </c:pt>
                <c:pt idx="144">
                  <c:v>1589.42</c:v>
                </c:pt>
                <c:pt idx="145">
                  <c:v>336.66</c:v>
                </c:pt>
                <c:pt idx="146">
                  <c:v>1353.79</c:v>
                </c:pt>
                <c:pt idx="147">
                  <c:v>662.61</c:v>
                </c:pt>
                <c:pt idx="148">
                  <c:v>309.42</c:v>
                </c:pt>
                <c:pt idx="149">
                  <c:v>884.63</c:v>
                </c:pt>
                <c:pt idx="150">
                  <c:v>745.05</c:v>
                </c:pt>
                <c:pt idx="151">
                  <c:v>870.23</c:v>
                </c:pt>
                <c:pt idx="152">
                  <c:v>862.19</c:v>
                </c:pt>
                <c:pt idx="153">
                  <c:v>1171.18</c:v>
                </c:pt>
                <c:pt idx="154">
                  <c:v>1054.56</c:v>
                </c:pt>
                <c:pt idx="155">
                  <c:v>1681.21</c:v>
                </c:pt>
                <c:pt idx="156">
                  <c:v>379.77</c:v>
                </c:pt>
                <c:pt idx="157">
                  <c:v>1076.33</c:v>
                </c:pt>
                <c:pt idx="158">
                  <c:v>1250.71</c:v>
                </c:pt>
                <c:pt idx="159">
                  <c:v>1118.3399999999999</c:v>
                </c:pt>
                <c:pt idx="160">
                  <c:v>1622.62</c:v>
                </c:pt>
                <c:pt idx="161">
                  <c:v>640.64</c:v>
                </c:pt>
                <c:pt idx="162">
                  <c:v>585.16</c:v>
                </c:pt>
                <c:pt idx="163">
                  <c:v>1109.98</c:v>
                </c:pt>
                <c:pt idx="164">
                  <c:v>1098.08</c:v>
                </c:pt>
                <c:pt idx="165">
                  <c:v>827.25</c:v>
                </c:pt>
                <c:pt idx="166">
                  <c:v>741.88</c:v>
                </c:pt>
                <c:pt idx="167">
                  <c:v>1311.26</c:v>
                </c:pt>
                <c:pt idx="168">
                  <c:v>573.32000000000005</c:v>
                </c:pt>
                <c:pt idx="169">
                  <c:v>1115.22</c:v>
                </c:pt>
                <c:pt idx="170">
                  <c:v>845.84</c:v>
                </c:pt>
                <c:pt idx="171">
                  <c:v>1029.8</c:v>
                </c:pt>
                <c:pt idx="172">
                  <c:v>1189.83</c:v>
                </c:pt>
                <c:pt idx="173">
                  <c:v>704.28</c:v>
                </c:pt>
                <c:pt idx="174">
                  <c:v>1618.22</c:v>
                </c:pt>
                <c:pt idx="175">
                  <c:v>1014.43</c:v>
                </c:pt>
                <c:pt idx="176">
                  <c:v>826.97</c:v>
                </c:pt>
                <c:pt idx="177">
                  <c:v>1022.23</c:v>
                </c:pt>
                <c:pt idx="178">
                  <c:v>1099.69</c:v>
                </c:pt>
                <c:pt idx="179">
                  <c:v>710.52</c:v>
                </c:pt>
                <c:pt idx="180">
                  <c:v>499.18</c:v>
                </c:pt>
                <c:pt idx="181">
                  <c:v>1064.19</c:v>
                </c:pt>
                <c:pt idx="182">
                  <c:v>438.76</c:v>
                </c:pt>
                <c:pt idx="183">
                  <c:v>864.98</c:v>
                </c:pt>
                <c:pt idx="184">
                  <c:v>984.93</c:v>
                </c:pt>
                <c:pt idx="185">
                  <c:v>1493.49</c:v>
                </c:pt>
                <c:pt idx="186">
                  <c:v>689.43</c:v>
                </c:pt>
                <c:pt idx="187">
                  <c:v>682.24</c:v>
                </c:pt>
                <c:pt idx="188">
                  <c:v>458.54</c:v>
                </c:pt>
                <c:pt idx="189">
                  <c:v>1184.25</c:v>
                </c:pt>
                <c:pt idx="190">
                  <c:v>762.14</c:v>
                </c:pt>
                <c:pt idx="191">
                  <c:v>750.71</c:v>
                </c:pt>
                <c:pt idx="192">
                  <c:v>1456.94</c:v>
                </c:pt>
                <c:pt idx="193">
                  <c:v>1093.3800000000001</c:v>
                </c:pt>
                <c:pt idx="194">
                  <c:v>934.27</c:v>
                </c:pt>
                <c:pt idx="195">
                  <c:v>1465.35</c:v>
                </c:pt>
                <c:pt idx="196">
                  <c:v>740.8</c:v>
                </c:pt>
                <c:pt idx="197">
                  <c:v>545.44000000000005</c:v>
                </c:pt>
                <c:pt idx="198">
                  <c:v>997.61</c:v>
                </c:pt>
                <c:pt idx="199">
                  <c:v>928.32</c:v>
                </c:pt>
              </c:numCache>
            </c:numRef>
          </c:yVal>
          <c:smooth val="0"/>
          <c:extLst>
            <c:ext xmlns:c16="http://schemas.microsoft.com/office/drawing/2014/chart" uri="{C3380CC4-5D6E-409C-BE32-E72D297353CC}">
              <c16:uniqueId val="{00000003-9774-4C7A-A7BB-8A7DAA629739}"/>
            </c:ext>
          </c:extLst>
        </c:ser>
        <c:ser>
          <c:idx val="1"/>
          <c:order val="1"/>
          <c:tx>
            <c:v>Predicted Sales</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numRef>
              <c:f>Dataset!$I$2:$I$201</c:f>
              <c:numCache>
                <c:formatCode>General</c:formatCode>
                <c:ptCount val="200"/>
                <c:pt idx="0">
                  <c:v>331.55</c:v>
                </c:pt>
                <c:pt idx="1">
                  <c:v>440.51</c:v>
                </c:pt>
                <c:pt idx="2">
                  <c:v>285.33999999999997</c:v>
                </c:pt>
                <c:pt idx="3">
                  <c:v>161.69999999999999</c:v>
                </c:pt>
                <c:pt idx="4">
                  <c:v>271.04000000000002</c:v>
                </c:pt>
                <c:pt idx="5">
                  <c:v>304.18</c:v>
                </c:pt>
                <c:pt idx="6">
                  <c:v>312.91000000000003</c:v>
                </c:pt>
                <c:pt idx="7">
                  <c:v>300.85000000000002</c:v>
                </c:pt>
                <c:pt idx="8">
                  <c:v>190.59</c:v>
                </c:pt>
                <c:pt idx="9">
                  <c:v>350.22</c:v>
                </c:pt>
                <c:pt idx="10">
                  <c:v>672.38</c:v>
                </c:pt>
                <c:pt idx="11">
                  <c:v>456.66</c:v>
                </c:pt>
                <c:pt idx="12">
                  <c:v>452.8</c:v>
                </c:pt>
                <c:pt idx="13">
                  <c:v>273.41000000000003</c:v>
                </c:pt>
                <c:pt idx="14">
                  <c:v>155.19999999999999</c:v>
                </c:pt>
                <c:pt idx="15">
                  <c:v>300.58999999999997</c:v>
                </c:pt>
                <c:pt idx="16">
                  <c:v>298.38</c:v>
                </c:pt>
                <c:pt idx="17">
                  <c:v>203.74</c:v>
                </c:pt>
                <c:pt idx="18">
                  <c:v>481.96</c:v>
                </c:pt>
                <c:pt idx="19">
                  <c:v>161.26</c:v>
                </c:pt>
                <c:pt idx="20">
                  <c:v>476.65</c:v>
                </c:pt>
                <c:pt idx="21">
                  <c:v>82.57</c:v>
                </c:pt>
                <c:pt idx="22">
                  <c:v>297.27</c:v>
                </c:pt>
                <c:pt idx="23">
                  <c:v>176.59</c:v>
                </c:pt>
                <c:pt idx="24">
                  <c:v>374.75</c:v>
                </c:pt>
                <c:pt idx="25">
                  <c:v>293.27999999999997</c:v>
                </c:pt>
                <c:pt idx="26">
                  <c:v>236.44</c:v>
                </c:pt>
                <c:pt idx="27">
                  <c:v>356.85</c:v>
                </c:pt>
                <c:pt idx="28">
                  <c:v>398.25</c:v>
                </c:pt>
                <c:pt idx="29">
                  <c:v>160.24</c:v>
                </c:pt>
                <c:pt idx="30">
                  <c:v>326.41000000000003</c:v>
                </c:pt>
                <c:pt idx="31">
                  <c:v>388.82</c:v>
                </c:pt>
                <c:pt idx="32">
                  <c:v>253.98</c:v>
                </c:pt>
                <c:pt idx="33">
                  <c:v>217.78</c:v>
                </c:pt>
                <c:pt idx="34">
                  <c:v>513.38</c:v>
                </c:pt>
                <c:pt idx="35">
                  <c:v>151.16</c:v>
                </c:pt>
                <c:pt idx="36">
                  <c:v>359.49</c:v>
                </c:pt>
                <c:pt idx="37">
                  <c:v>468.84</c:v>
                </c:pt>
                <c:pt idx="38">
                  <c:v>229.99</c:v>
                </c:pt>
                <c:pt idx="39">
                  <c:v>197.35</c:v>
                </c:pt>
                <c:pt idx="40">
                  <c:v>414.44</c:v>
                </c:pt>
                <c:pt idx="41">
                  <c:v>369.35</c:v>
                </c:pt>
                <c:pt idx="42">
                  <c:v>212.83</c:v>
                </c:pt>
                <c:pt idx="43">
                  <c:v>302.70999999999998</c:v>
                </c:pt>
                <c:pt idx="44">
                  <c:v>365.11</c:v>
                </c:pt>
                <c:pt idx="45">
                  <c:v>214.18</c:v>
                </c:pt>
                <c:pt idx="46">
                  <c:v>468.72</c:v>
                </c:pt>
                <c:pt idx="47">
                  <c:v>450.71</c:v>
                </c:pt>
                <c:pt idx="48">
                  <c:v>332.32</c:v>
                </c:pt>
                <c:pt idx="49">
                  <c:v>174.48</c:v>
                </c:pt>
                <c:pt idx="50">
                  <c:v>242.6</c:v>
                </c:pt>
                <c:pt idx="51">
                  <c:v>551.98</c:v>
                </c:pt>
                <c:pt idx="52">
                  <c:v>380.43</c:v>
                </c:pt>
                <c:pt idx="53">
                  <c:v>339.44</c:v>
                </c:pt>
                <c:pt idx="54">
                  <c:v>173.99</c:v>
                </c:pt>
                <c:pt idx="55">
                  <c:v>257.33</c:v>
                </c:pt>
                <c:pt idx="56">
                  <c:v>389.3</c:v>
                </c:pt>
                <c:pt idx="57">
                  <c:v>148.32</c:v>
                </c:pt>
                <c:pt idx="58">
                  <c:v>449.58</c:v>
                </c:pt>
                <c:pt idx="59">
                  <c:v>680.18</c:v>
                </c:pt>
                <c:pt idx="60">
                  <c:v>497.99</c:v>
                </c:pt>
                <c:pt idx="61">
                  <c:v>220.05</c:v>
                </c:pt>
                <c:pt idx="62">
                  <c:v>294.12</c:v>
                </c:pt>
                <c:pt idx="63">
                  <c:v>201.11</c:v>
                </c:pt>
                <c:pt idx="64">
                  <c:v>261.27</c:v>
                </c:pt>
                <c:pt idx="65">
                  <c:v>307.82</c:v>
                </c:pt>
                <c:pt idx="66">
                  <c:v>333.05</c:v>
                </c:pt>
                <c:pt idx="67">
                  <c:v>455.97</c:v>
                </c:pt>
                <c:pt idx="68">
                  <c:v>242.31</c:v>
                </c:pt>
                <c:pt idx="69">
                  <c:v>344.06</c:v>
                </c:pt>
                <c:pt idx="70">
                  <c:v>144.56</c:v>
                </c:pt>
                <c:pt idx="71">
                  <c:v>441.54</c:v>
                </c:pt>
                <c:pt idx="72">
                  <c:v>114.7</c:v>
                </c:pt>
                <c:pt idx="73">
                  <c:v>257.42</c:v>
                </c:pt>
                <c:pt idx="74">
                  <c:v>305.32</c:v>
                </c:pt>
                <c:pt idx="75">
                  <c:v>258.24</c:v>
                </c:pt>
                <c:pt idx="76">
                  <c:v>441.47</c:v>
                </c:pt>
                <c:pt idx="77">
                  <c:v>172.26</c:v>
                </c:pt>
                <c:pt idx="78">
                  <c:v>500.1</c:v>
                </c:pt>
                <c:pt idx="79">
                  <c:v>581.16</c:v>
                </c:pt>
                <c:pt idx="80">
                  <c:v>271.88</c:v>
                </c:pt>
                <c:pt idx="81">
                  <c:v>400.29</c:v>
                </c:pt>
                <c:pt idx="82">
                  <c:v>177.77</c:v>
                </c:pt>
                <c:pt idx="83">
                  <c:v>406.86</c:v>
                </c:pt>
                <c:pt idx="84">
                  <c:v>526</c:v>
                </c:pt>
                <c:pt idx="85">
                  <c:v>333.97</c:v>
                </c:pt>
                <c:pt idx="86">
                  <c:v>305.8</c:v>
                </c:pt>
                <c:pt idx="87">
                  <c:v>649.79</c:v>
                </c:pt>
                <c:pt idx="88">
                  <c:v>441.53</c:v>
                </c:pt>
                <c:pt idx="89">
                  <c:v>480.51</c:v>
                </c:pt>
                <c:pt idx="90">
                  <c:v>346.99</c:v>
                </c:pt>
                <c:pt idx="91">
                  <c:v>229.23</c:v>
                </c:pt>
                <c:pt idx="92">
                  <c:v>334.84</c:v>
                </c:pt>
                <c:pt idx="93">
                  <c:v>231.79</c:v>
                </c:pt>
                <c:pt idx="94">
                  <c:v>328.54</c:v>
                </c:pt>
                <c:pt idx="95">
                  <c:v>366.99</c:v>
                </c:pt>
                <c:pt idx="96">
                  <c:v>348.96</c:v>
                </c:pt>
                <c:pt idx="97">
                  <c:v>542.62</c:v>
                </c:pt>
                <c:pt idx="98">
                  <c:v>297.69</c:v>
                </c:pt>
                <c:pt idx="99">
                  <c:v>451.1</c:v>
                </c:pt>
                <c:pt idx="100">
                  <c:v>210.95</c:v>
                </c:pt>
                <c:pt idx="101">
                  <c:v>445.59</c:v>
                </c:pt>
                <c:pt idx="102">
                  <c:v>202.82</c:v>
                </c:pt>
                <c:pt idx="103">
                  <c:v>231.32</c:v>
                </c:pt>
                <c:pt idx="104">
                  <c:v>450.29</c:v>
                </c:pt>
                <c:pt idx="105">
                  <c:v>307.72000000000003</c:v>
                </c:pt>
                <c:pt idx="106">
                  <c:v>367.59</c:v>
                </c:pt>
                <c:pt idx="107">
                  <c:v>769.46</c:v>
                </c:pt>
                <c:pt idx="108">
                  <c:v>327.92</c:v>
                </c:pt>
                <c:pt idx="109">
                  <c:v>553.29999999999995</c:v>
                </c:pt>
                <c:pt idx="110">
                  <c:v>352.86</c:v>
                </c:pt>
                <c:pt idx="111">
                  <c:v>313.91000000000003</c:v>
                </c:pt>
                <c:pt idx="112">
                  <c:v>355.1</c:v>
                </c:pt>
                <c:pt idx="113">
                  <c:v>192.76</c:v>
                </c:pt>
                <c:pt idx="114">
                  <c:v>264.44</c:v>
                </c:pt>
                <c:pt idx="115">
                  <c:v>172.21</c:v>
                </c:pt>
                <c:pt idx="116">
                  <c:v>474.66</c:v>
                </c:pt>
                <c:pt idx="117">
                  <c:v>433.58</c:v>
                </c:pt>
                <c:pt idx="118">
                  <c:v>343.6</c:v>
                </c:pt>
                <c:pt idx="119">
                  <c:v>318.3</c:v>
                </c:pt>
                <c:pt idx="120">
                  <c:v>358.41</c:v>
                </c:pt>
                <c:pt idx="121">
                  <c:v>581.5</c:v>
                </c:pt>
                <c:pt idx="122">
                  <c:v>410.9</c:v>
                </c:pt>
                <c:pt idx="123">
                  <c:v>179.51</c:v>
                </c:pt>
                <c:pt idx="124">
                  <c:v>511.14</c:v>
                </c:pt>
                <c:pt idx="125">
                  <c:v>150.18</c:v>
                </c:pt>
                <c:pt idx="126">
                  <c:v>352.65</c:v>
                </c:pt>
                <c:pt idx="127">
                  <c:v>472.62</c:v>
                </c:pt>
                <c:pt idx="128">
                  <c:v>195.33</c:v>
                </c:pt>
                <c:pt idx="129">
                  <c:v>64.63</c:v>
                </c:pt>
                <c:pt idx="130">
                  <c:v>461.12</c:v>
                </c:pt>
                <c:pt idx="131">
                  <c:v>437.11</c:v>
                </c:pt>
                <c:pt idx="132">
                  <c:v>268.97000000000003</c:v>
                </c:pt>
                <c:pt idx="133">
                  <c:v>265.26</c:v>
                </c:pt>
                <c:pt idx="134">
                  <c:v>178.91</c:v>
                </c:pt>
                <c:pt idx="135">
                  <c:v>356.5</c:v>
                </c:pt>
                <c:pt idx="136">
                  <c:v>229.65</c:v>
                </c:pt>
                <c:pt idx="137">
                  <c:v>121.54</c:v>
                </c:pt>
                <c:pt idx="138">
                  <c:v>268</c:v>
                </c:pt>
                <c:pt idx="139">
                  <c:v>426.16</c:v>
                </c:pt>
                <c:pt idx="140">
                  <c:v>316.32</c:v>
                </c:pt>
                <c:pt idx="141">
                  <c:v>492.5</c:v>
                </c:pt>
                <c:pt idx="142">
                  <c:v>232.33</c:v>
                </c:pt>
                <c:pt idx="143">
                  <c:v>165.97</c:v>
                </c:pt>
                <c:pt idx="144">
                  <c:v>675.5</c:v>
                </c:pt>
                <c:pt idx="145">
                  <c:v>134.66</c:v>
                </c:pt>
                <c:pt idx="146">
                  <c:v>487.36</c:v>
                </c:pt>
                <c:pt idx="147">
                  <c:v>314.74</c:v>
                </c:pt>
                <c:pt idx="148">
                  <c:v>111.39</c:v>
                </c:pt>
                <c:pt idx="149">
                  <c:v>318.47000000000003</c:v>
                </c:pt>
                <c:pt idx="150">
                  <c:v>301.75</c:v>
                </c:pt>
                <c:pt idx="151">
                  <c:v>413.36</c:v>
                </c:pt>
                <c:pt idx="152">
                  <c:v>286.68</c:v>
                </c:pt>
                <c:pt idx="153">
                  <c:v>556.30999999999995</c:v>
                </c:pt>
                <c:pt idx="154">
                  <c:v>332.19</c:v>
                </c:pt>
                <c:pt idx="155">
                  <c:v>336.24</c:v>
                </c:pt>
                <c:pt idx="156">
                  <c:v>180.39</c:v>
                </c:pt>
                <c:pt idx="157">
                  <c:v>484.35</c:v>
                </c:pt>
                <c:pt idx="158">
                  <c:v>562.82000000000005</c:v>
                </c:pt>
                <c:pt idx="159">
                  <c:v>447.34</c:v>
                </c:pt>
                <c:pt idx="160">
                  <c:v>649.04999999999995</c:v>
                </c:pt>
                <c:pt idx="161">
                  <c:v>205</c:v>
                </c:pt>
                <c:pt idx="162">
                  <c:v>263.32</c:v>
                </c:pt>
                <c:pt idx="163">
                  <c:v>443.99</c:v>
                </c:pt>
                <c:pt idx="164">
                  <c:v>395.31</c:v>
                </c:pt>
                <c:pt idx="165">
                  <c:v>335.04</c:v>
                </c:pt>
                <c:pt idx="166">
                  <c:v>333.85</c:v>
                </c:pt>
                <c:pt idx="167">
                  <c:v>531.05999999999995</c:v>
                </c:pt>
                <c:pt idx="168">
                  <c:v>232.19</c:v>
                </c:pt>
                <c:pt idx="169">
                  <c:v>223.04</c:v>
                </c:pt>
                <c:pt idx="170">
                  <c:v>422.92</c:v>
                </c:pt>
                <c:pt idx="171">
                  <c:v>257.45</c:v>
                </c:pt>
                <c:pt idx="172">
                  <c:v>380.75</c:v>
                </c:pt>
                <c:pt idx="173">
                  <c:v>225.37</c:v>
                </c:pt>
                <c:pt idx="174">
                  <c:v>582.55999999999995</c:v>
                </c:pt>
                <c:pt idx="175">
                  <c:v>344.91</c:v>
                </c:pt>
                <c:pt idx="176">
                  <c:v>330.79</c:v>
                </c:pt>
                <c:pt idx="177">
                  <c:v>460</c:v>
                </c:pt>
                <c:pt idx="178">
                  <c:v>439.88</c:v>
                </c:pt>
                <c:pt idx="179">
                  <c:v>255.79</c:v>
                </c:pt>
                <c:pt idx="180">
                  <c:v>159.74</c:v>
                </c:pt>
                <c:pt idx="181">
                  <c:v>404.39</c:v>
                </c:pt>
                <c:pt idx="182">
                  <c:v>187.57</c:v>
                </c:pt>
                <c:pt idx="183">
                  <c:v>410.87</c:v>
                </c:pt>
                <c:pt idx="184">
                  <c:v>275.77999999999997</c:v>
                </c:pt>
                <c:pt idx="185">
                  <c:v>746.74</c:v>
                </c:pt>
                <c:pt idx="186">
                  <c:v>310.24</c:v>
                </c:pt>
                <c:pt idx="187">
                  <c:v>341.12</c:v>
                </c:pt>
                <c:pt idx="188">
                  <c:v>91.71</c:v>
                </c:pt>
                <c:pt idx="189">
                  <c:v>331.59</c:v>
                </c:pt>
                <c:pt idx="190">
                  <c:v>381.07</c:v>
                </c:pt>
                <c:pt idx="191">
                  <c:v>255.24</c:v>
                </c:pt>
                <c:pt idx="192">
                  <c:v>692.05</c:v>
                </c:pt>
                <c:pt idx="193">
                  <c:v>344.41</c:v>
                </c:pt>
                <c:pt idx="194">
                  <c:v>397.06</c:v>
                </c:pt>
                <c:pt idx="195">
                  <c:v>586.14</c:v>
                </c:pt>
                <c:pt idx="196">
                  <c:v>333.36</c:v>
                </c:pt>
                <c:pt idx="197">
                  <c:v>245.45</c:v>
                </c:pt>
                <c:pt idx="198">
                  <c:v>379.09</c:v>
                </c:pt>
                <c:pt idx="199">
                  <c:v>440.95</c:v>
                </c:pt>
              </c:numCache>
            </c:numRef>
          </c:xVal>
          <c:yVal>
            <c:numRef>
              <c:f>Regression!$B$25:$B$224</c:f>
              <c:numCache>
                <c:formatCode>General</c:formatCode>
                <c:ptCount val="200"/>
                <c:pt idx="0">
                  <c:v>959.23640018821675</c:v>
                </c:pt>
                <c:pt idx="1">
                  <c:v>1144.9954488012086</c:v>
                </c:pt>
                <c:pt idx="2">
                  <c:v>880.45587856187353</c:v>
                </c:pt>
                <c:pt idx="3">
                  <c:v>669.669821563798</c:v>
                </c:pt>
                <c:pt idx="4">
                  <c:v>856.07670826850187</c:v>
                </c:pt>
                <c:pt idx="5">
                  <c:v>912.57500921411997</c:v>
                </c:pt>
                <c:pt idx="6">
                  <c:v>927.45823695266097</c:v>
                </c:pt>
                <c:pt idx="7">
                  <c:v>906.89790172622293</c:v>
                </c:pt>
                <c:pt idx="8">
                  <c:v>718.92256490474279</c:v>
                </c:pt>
                <c:pt idx="9">
                  <c:v>991.06570853627625</c:v>
                </c:pt>
                <c:pt idx="10">
                  <c:v>1540.2960233413555</c:v>
                </c:pt>
                <c:pt idx="11">
                  <c:v>1172.5285676989674</c:v>
                </c:pt>
                <c:pt idx="12">
                  <c:v>1165.9478965568405</c:v>
                </c:pt>
                <c:pt idx="13">
                  <c:v>860.11717215628448</c:v>
                </c:pt>
                <c:pt idx="14">
                  <c:v>658.58838052135638</c:v>
                </c:pt>
                <c:pt idx="15">
                  <c:v>906.45464408452517</c:v>
                </c:pt>
                <c:pt idx="16">
                  <c:v>902.68695413009505</c:v>
                </c:pt>
                <c:pt idx="17">
                  <c:v>741.34117255214414</c:v>
                </c:pt>
                <c:pt idx="18">
                  <c:v>1215.6609459103174</c:v>
                </c:pt>
                <c:pt idx="19">
                  <c:v>668.91969324707895</c:v>
                </c:pt>
                <c:pt idx="20">
                  <c:v>1206.6082609971843</c:v>
                </c:pt>
                <c:pt idx="21">
                  <c:v>534.76606315019637</c:v>
                </c:pt>
                <c:pt idx="22">
                  <c:v>900.7945849674627</c:v>
                </c:pt>
                <c:pt idx="23">
                  <c:v>695.05484573640683</c:v>
                </c:pt>
                <c:pt idx="24">
                  <c:v>1032.8853621933677</c:v>
                </c:pt>
                <c:pt idx="25">
                  <c:v>893.99228500448692</c:v>
                </c:pt>
                <c:pt idx="26">
                  <c:v>797.08934518104297</c:v>
                </c:pt>
                <c:pt idx="27">
                  <c:v>1002.3687783995667</c:v>
                </c:pt>
                <c:pt idx="28">
                  <c:v>1072.9490336545032</c:v>
                </c:pt>
                <c:pt idx="29">
                  <c:v>667.18075942195742</c:v>
                </c:pt>
                <c:pt idx="30">
                  <c:v>950.47353757927056</c:v>
                </c:pt>
                <c:pt idx="31">
                  <c:v>1056.8724199575454</c:v>
                </c:pt>
                <c:pt idx="32">
                  <c:v>826.99218762480109</c:v>
                </c:pt>
                <c:pt idx="33">
                  <c:v>765.27708520381816</c:v>
                </c:pt>
                <c:pt idx="34">
                  <c:v>1269.2269270723973</c:v>
                </c:pt>
                <c:pt idx="35">
                  <c:v>651.70083870420808</c:v>
                </c:pt>
                <c:pt idx="36">
                  <c:v>1006.8695482998816</c:v>
                </c:pt>
                <c:pt idx="37">
                  <c:v>1193.2934833754198</c:v>
                </c:pt>
                <c:pt idx="38">
                  <c:v>786.093145992774</c:v>
                </c:pt>
                <c:pt idx="39">
                  <c:v>730.44726358888215</c:v>
                </c:pt>
                <c:pt idx="40">
                  <c:v>1100.5503460356001</c:v>
                </c:pt>
                <c:pt idx="41">
                  <c:v>1023.6792419427238</c:v>
                </c:pt>
                <c:pt idx="42">
                  <c:v>756.83814164072783</c:v>
                </c:pt>
                <c:pt idx="43">
                  <c:v>910.06889870144471</c:v>
                </c:pt>
                <c:pt idx="44">
                  <c:v>1016.450732708885</c:v>
                </c:pt>
                <c:pt idx="45">
                  <c:v>759.13967170338879</c:v>
                </c:pt>
                <c:pt idx="46">
                  <c:v>1193.0889029254054</c:v>
                </c:pt>
                <c:pt idx="47">
                  <c:v>1162.3847870524246</c:v>
                </c:pt>
                <c:pt idx="48">
                  <c:v>960.54912474247521</c:v>
                </c:pt>
                <c:pt idx="49">
                  <c:v>691.45763949032187</c:v>
                </c:pt>
                <c:pt idx="50">
                  <c:v>807.59114161511081</c:v>
                </c:pt>
                <c:pt idx="51">
                  <c:v>1335.0336384936663</c:v>
                </c:pt>
                <c:pt idx="52">
                  <c:v>1042.5688368273782</c:v>
                </c:pt>
                <c:pt idx="53">
                  <c:v>972.6875647766575</c:v>
                </c:pt>
                <c:pt idx="54">
                  <c:v>690.62226931943019</c:v>
                </c:pt>
                <c:pt idx="55">
                  <c:v>832.70339185436706</c:v>
                </c:pt>
                <c:pt idx="56">
                  <c:v>1057.6907417576026</c:v>
                </c:pt>
                <c:pt idx="57">
                  <c:v>646.85910138720271</c:v>
                </c:pt>
                <c:pt idx="58">
                  <c:v>1160.4583211481233</c:v>
                </c:pt>
                <c:pt idx="59">
                  <c:v>1553.5937525922855</c:v>
                </c:pt>
                <c:pt idx="60">
                  <c:v>1242.9894843580623</c:v>
                </c:pt>
                <c:pt idx="61">
                  <c:v>769.14706538325549</c:v>
                </c:pt>
                <c:pt idx="62">
                  <c:v>895.42434815458716</c:v>
                </c:pt>
                <c:pt idx="63">
                  <c:v>736.85745102266378</c:v>
                </c:pt>
                <c:pt idx="64">
                  <c:v>839.42044996317031</c:v>
                </c:pt>
                <c:pt idx="65">
                  <c:v>918.7806161978873</c:v>
                </c:pt>
                <c:pt idx="66">
                  <c:v>961.79365581339562</c:v>
                </c:pt>
                <c:pt idx="67">
                  <c:v>1171.3522301113853</c:v>
                </c:pt>
                <c:pt idx="68">
                  <c:v>807.09673886090957</c:v>
                </c:pt>
                <c:pt idx="69">
                  <c:v>980.56391210220841</c:v>
                </c:pt>
                <c:pt idx="70">
                  <c:v>640.44891395342108</c:v>
                </c:pt>
                <c:pt idx="71">
                  <c:v>1146.7514309971648</c:v>
                </c:pt>
                <c:pt idx="72">
                  <c:v>589.5424786415274</c:v>
                </c:pt>
                <c:pt idx="73">
                  <c:v>832.85682719187798</c:v>
                </c:pt>
                <c:pt idx="74">
                  <c:v>914.51852348925593</c:v>
                </c:pt>
                <c:pt idx="75">
                  <c:v>834.25479360030909</c:v>
                </c:pt>
                <c:pt idx="76">
                  <c:v>1146.632092401323</c:v>
                </c:pt>
                <c:pt idx="77">
                  <c:v>687.67290116505717</c:v>
                </c:pt>
                <c:pt idx="78">
                  <c:v>1246.586690604147</c:v>
                </c:pt>
                <c:pt idx="79">
                  <c:v>1384.7807845888121</c:v>
                </c:pt>
                <c:pt idx="80">
                  <c:v>857.50877141860201</c:v>
                </c:pt>
                <c:pt idx="81">
                  <c:v>1076.4269013047463</c:v>
                </c:pt>
                <c:pt idx="82">
                  <c:v>697.06655349488085</c:v>
                </c:pt>
                <c:pt idx="83">
                  <c:v>1087.6276809430296</c:v>
                </c:pt>
                <c:pt idx="84">
                  <c:v>1290.7419710655686</c:v>
                </c:pt>
                <c:pt idx="85">
                  <c:v>963.36210593017199</c:v>
                </c:pt>
                <c:pt idx="86">
                  <c:v>915.33684528931315</c:v>
                </c:pt>
                <c:pt idx="87">
                  <c:v>1501.7837536261618</c:v>
                </c:pt>
                <c:pt idx="88">
                  <c:v>1146.73438262633</c:v>
                </c:pt>
                <c:pt idx="89">
                  <c:v>1213.1889321393112</c:v>
                </c:pt>
                <c:pt idx="90">
                  <c:v>985.55908475672436</c:v>
                </c:pt>
                <c:pt idx="91">
                  <c:v>784.79746980934999</c:v>
                </c:pt>
                <c:pt idx="92">
                  <c:v>964.84531419277562</c:v>
                </c:pt>
                <c:pt idx="93">
                  <c:v>789.16185274298857</c:v>
                </c:pt>
                <c:pt idx="94">
                  <c:v>954.10484056702455</c:v>
                </c:pt>
                <c:pt idx="95">
                  <c:v>1019.6558264257758</c:v>
                </c:pt>
                <c:pt idx="96">
                  <c:v>988.91761381112588</c:v>
                </c:pt>
                <c:pt idx="97">
                  <c:v>1319.0763633925503</c:v>
                </c:pt>
                <c:pt idx="98">
                  <c:v>901.51061654251282</c:v>
                </c:pt>
                <c:pt idx="99">
                  <c:v>1163.0496735149713</c:v>
                </c:pt>
                <c:pt idx="100">
                  <c:v>753.63304792383701</c:v>
                </c:pt>
                <c:pt idx="101">
                  <c:v>1153.6560211851474</c:v>
                </c:pt>
                <c:pt idx="102">
                  <c:v>739.77272243536765</c:v>
                </c:pt>
                <c:pt idx="103">
                  <c:v>788.36057931376581</c:v>
                </c:pt>
                <c:pt idx="104">
                  <c:v>1161.6687554773748</c:v>
                </c:pt>
                <c:pt idx="105">
                  <c:v>918.61013248954214</c:v>
                </c:pt>
                <c:pt idx="106">
                  <c:v>1020.6787286758472</c:v>
                </c:pt>
                <c:pt idx="107">
                  <c:v>1705.8016074029308</c:v>
                </c:pt>
                <c:pt idx="108">
                  <c:v>953.047841575284</c:v>
                </c:pt>
                <c:pt idx="109">
                  <c:v>1337.2840234438236</c:v>
                </c:pt>
                <c:pt idx="110">
                  <c:v>995.56647843659096</c:v>
                </c:pt>
                <c:pt idx="111">
                  <c:v>929.16307403611347</c:v>
                </c:pt>
                <c:pt idx="112">
                  <c:v>999.3853135035248</c:v>
                </c:pt>
                <c:pt idx="113">
                  <c:v>722.62206137583485</c:v>
                </c:pt>
                <c:pt idx="114">
                  <c:v>844.82478351771488</c:v>
                </c:pt>
                <c:pt idx="115">
                  <c:v>687.58765931088465</c:v>
                </c:pt>
                <c:pt idx="116">
                  <c:v>1203.2156352011139</c:v>
                </c:pt>
                <c:pt idx="117">
                  <c:v>1133.1809278128821</c:v>
                </c:pt>
                <c:pt idx="118">
                  <c:v>979.77968704382022</c:v>
                </c:pt>
                <c:pt idx="119">
                  <c:v>936.64730883247023</c:v>
                </c:pt>
                <c:pt idx="120">
                  <c:v>1005.0283242497528</c:v>
                </c:pt>
                <c:pt idx="121">
                  <c:v>1385.360429197186</c:v>
                </c:pt>
                <c:pt idx="122">
                  <c:v>1094.5152227601779</c:v>
                </c:pt>
                <c:pt idx="123">
                  <c:v>700.03297002008833</c:v>
                </c:pt>
                <c:pt idx="124">
                  <c:v>1265.4080920054635</c:v>
                </c:pt>
                <c:pt idx="125">
                  <c:v>650.0300983624245</c:v>
                </c:pt>
                <c:pt idx="126">
                  <c:v>995.20846264906584</c:v>
                </c:pt>
                <c:pt idx="127">
                  <c:v>1199.7377675508706</c:v>
                </c:pt>
                <c:pt idx="128">
                  <c:v>727.003492680308</c:v>
                </c:pt>
                <c:pt idx="129">
                  <c:v>504.18128587305733</c:v>
                </c:pt>
                <c:pt idx="130">
                  <c:v>1180.132141091166</c:v>
                </c:pt>
                <c:pt idx="131">
                  <c:v>1139.1990027174697</c:v>
                </c:pt>
                <c:pt idx="132">
                  <c:v>852.54769550575509</c:v>
                </c:pt>
                <c:pt idx="133">
                  <c:v>846.22274992614598</c:v>
                </c:pt>
                <c:pt idx="134">
                  <c:v>699.0100677700168</c:v>
                </c:pt>
                <c:pt idx="135">
                  <c:v>1001.7720854203583</c:v>
                </c:pt>
                <c:pt idx="136">
                  <c:v>785.51350138440012</c:v>
                </c:pt>
                <c:pt idx="137">
                  <c:v>601.203564292343</c:v>
                </c:pt>
                <c:pt idx="138">
                  <c:v>850.89400353480607</c:v>
                </c:pt>
                <c:pt idx="139">
                  <c:v>1120.5310366536642</c:v>
                </c:pt>
                <c:pt idx="140">
                  <c:v>933.27173140723414</c:v>
                </c:pt>
                <c:pt idx="141">
                  <c:v>1233.6299287699076</c:v>
                </c:pt>
                <c:pt idx="142">
                  <c:v>790.082464768053</c:v>
                </c:pt>
                <c:pt idx="143">
                  <c:v>676.94947591014056</c:v>
                </c:pt>
                <c:pt idx="144">
                  <c:v>1545.6151150417274</c:v>
                </c:pt>
                <c:pt idx="145">
                  <c:v>623.57102682724064</c:v>
                </c:pt>
                <c:pt idx="146">
                  <c:v>1224.8670661609613</c:v>
                </c:pt>
                <c:pt idx="147">
                  <c:v>930.57808881537915</c:v>
                </c:pt>
                <c:pt idx="148">
                  <c:v>583.89946789529938</c:v>
                </c:pt>
                <c:pt idx="149">
                  <c:v>936.93713113665717</c:v>
                </c:pt>
                <c:pt idx="150">
                  <c:v>908.43225510133027</c:v>
                </c:pt>
                <c:pt idx="151">
                  <c:v>1098.7091219854715</c:v>
                </c:pt>
                <c:pt idx="152">
                  <c:v>882.74036025370003</c:v>
                </c:pt>
                <c:pt idx="153">
                  <c:v>1342.4155830650157</c:v>
                </c:pt>
                <c:pt idx="154">
                  <c:v>960.32749592162634</c:v>
                </c:pt>
                <c:pt idx="155">
                  <c:v>967.23208610960933</c:v>
                </c:pt>
                <c:pt idx="156">
                  <c:v>701.53322665352653</c:v>
                </c:pt>
                <c:pt idx="157">
                  <c:v>1219.7355065397692</c:v>
                </c:pt>
                <c:pt idx="158">
                  <c:v>1353.5140724782923</c:v>
                </c:pt>
                <c:pt idx="159">
                  <c:v>1156.6394860811895</c:v>
                </c:pt>
                <c:pt idx="160">
                  <c:v>1500.522174184407</c:v>
                </c:pt>
                <c:pt idx="161">
                  <c:v>743.48926727729429</c:v>
                </c:pt>
                <c:pt idx="162">
                  <c:v>842.91536598424796</c:v>
                </c:pt>
                <c:pt idx="163">
                  <c:v>1150.9282818516235</c:v>
                </c:pt>
                <c:pt idx="164">
                  <c:v>1067.9368126291524</c:v>
                </c:pt>
                <c:pt idx="165">
                  <c:v>965.18628160946628</c:v>
                </c:pt>
                <c:pt idx="166">
                  <c:v>963.15752548015769</c:v>
                </c:pt>
                <c:pt idx="167">
                  <c:v>1299.3684467078385</c:v>
                </c:pt>
                <c:pt idx="168">
                  <c:v>789.84378757636955</c:v>
                </c:pt>
                <c:pt idx="169">
                  <c:v>774.24452826277866</c:v>
                </c:pt>
                <c:pt idx="170">
                  <c:v>1115.007364503278</c:v>
                </c:pt>
                <c:pt idx="171">
                  <c:v>832.90797230438147</c:v>
                </c:pt>
                <c:pt idx="172">
                  <c:v>1043.1143846940831</c:v>
                </c:pt>
                <c:pt idx="173">
                  <c:v>778.21679866722309</c:v>
                </c:pt>
                <c:pt idx="174">
                  <c:v>1387.1675565056457</c:v>
                </c:pt>
                <c:pt idx="175">
                  <c:v>982.01302362314311</c:v>
                </c:pt>
                <c:pt idx="176">
                  <c:v>957.94072400479286</c:v>
                </c:pt>
                <c:pt idx="177">
                  <c:v>1178.2227235576991</c:v>
                </c:pt>
                <c:pt idx="178">
                  <c:v>1143.9214014386334</c:v>
                </c:pt>
                <c:pt idx="179">
                  <c:v>830.07794274585012</c:v>
                </c:pt>
                <c:pt idx="180">
                  <c:v>666.32834088023105</c:v>
                </c:pt>
                <c:pt idx="181">
                  <c:v>1083.4167333469018</c:v>
                </c:pt>
                <c:pt idx="182">
                  <c:v>713.77395691271602</c:v>
                </c:pt>
                <c:pt idx="183">
                  <c:v>1094.4640776476745</c:v>
                </c:pt>
                <c:pt idx="184">
                  <c:v>864.15763604406698</c:v>
                </c:pt>
                <c:pt idx="185">
                  <c:v>1667.0677088668883</c:v>
                </c:pt>
                <c:pt idx="186">
                  <c:v>922.90632193984254</c:v>
                </c:pt>
                <c:pt idx="187">
                  <c:v>975.55169107685788</c:v>
                </c:pt>
                <c:pt idx="188">
                  <c:v>550.34827409295281</c:v>
                </c:pt>
                <c:pt idx="189">
                  <c:v>959.30459367155481</c:v>
                </c:pt>
                <c:pt idx="190">
                  <c:v>1043.6599325607879</c:v>
                </c:pt>
                <c:pt idx="191">
                  <c:v>829.14028234995135</c:v>
                </c:pt>
                <c:pt idx="192">
                  <c:v>1573.8301687728674</c:v>
                </c:pt>
                <c:pt idx="193">
                  <c:v>981.16060508141686</c:v>
                </c:pt>
                <c:pt idx="194">
                  <c:v>1070.9202775251945</c:v>
                </c:pt>
                <c:pt idx="195">
                  <c:v>1393.270873264406</c:v>
                </c:pt>
                <c:pt idx="196">
                  <c:v>962.3221553092659</c:v>
                </c:pt>
                <c:pt idx="197">
                  <c:v>812.44992730295064</c:v>
                </c:pt>
                <c:pt idx="198">
                  <c:v>1040.2843551355518</c:v>
                </c:pt>
                <c:pt idx="199">
                  <c:v>1145.7455771179275</c:v>
                </c:pt>
              </c:numCache>
            </c:numRef>
          </c:yVal>
          <c:smooth val="0"/>
          <c:extLst>
            <c:ext xmlns:c16="http://schemas.microsoft.com/office/drawing/2014/chart" uri="{C3380CC4-5D6E-409C-BE32-E72D297353CC}">
              <c16:uniqueId val="{00000004-9774-4C7A-A7BB-8A7DAA629739}"/>
            </c:ext>
          </c:extLst>
        </c:ser>
        <c:dLbls>
          <c:showLegendKey val="0"/>
          <c:showVal val="0"/>
          <c:showCatName val="0"/>
          <c:showSerName val="0"/>
          <c:showPercent val="0"/>
          <c:showBubbleSize val="0"/>
        </c:dLbls>
        <c:axId val="1916027823"/>
        <c:axId val="1916034063"/>
      </c:scatterChart>
      <c:valAx>
        <c:axId val="191602782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Profit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16034063"/>
        <c:crosses val="autoZero"/>
        <c:crossBetween val="midCat"/>
      </c:valAx>
      <c:valAx>
        <c:axId val="191603406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160278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data (1).xlsx]Region!PivotTable1</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Sales</a:t>
            </a:r>
            <a:r>
              <a:rPr lang="en-US" baseline="0">
                <a:solidFill>
                  <a:sysClr val="windowText" lastClr="000000"/>
                </a:solidFill>
              </a:rPr>
              <a:t> by Region</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Region!$A$4:$A$9</c:f>
              <c:strCache>
                <c:ptCount val="5"/>
                <c:pt idx="0">
                  <c:v>Central</c:v>
                </c:pt>
                <c:pt idx="1">
                  <c:v>East</c:v>
                </c:pt>
                <c:pt idx="2">
                  <c:v>North</c:v>
                </c:pt>
                <c:pt idx="3">
                  <c:v>South</c:v>
                </c:pt>
                <c:pt idx="4">
                  <c:v>West</c:v>
                </c:pt>
              </c:strCache>
            </c:strRef>
          </c:cat>
          <c:val>
            <c:numRef>
              <c:f>Region!$B$4:$B$9</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970C-4E28-82D1-AED756FF9FDF}"/>
            </c:ext>
          </c:extLst>
        </c:ser>
        <c:dLbls>
          <c:dLblPos val="outEnd"/>
          <c:showLegendKey val="0"/>
          <c:showVal val="1"/>
          <c:showCatName val="0"/>
          <c:showSerName val="0"/>
          <c:showPercent val="0"/>
          <c:showBubbleSize val="0"/>
        </c:dLbls>
        <c:gapWidth val="219"/>
        <c:overlap val="-27"/>
        <c:axId val="69074895"/>
        <c:axId val="69077295"/>
      </c:barChart>
      <c:catAx>
        <c:axId val="6907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77295"/>
        <c:crosses val="autoZero"/>
        <c:auto val="1"/>
        <c:lblAlgn val="ctr"/>
        <c:lblOffset val="100"/>
        <c:noMultiLvlLbl val="0"/>
      </c:catAx>
      <c:valAx>
        <c:axId val="6907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7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data (1).xlsx]Years Sales!PivotTable2</c:name>
    <c:fmtId val="2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b="1"/>
              <a:t>Years by sales</a:t>
            </a:r>
          </a:p>
        </c:rich>
      </c:tx>
      <c:layout>
        <c:manualLayout>
          <c:xMode val="edge"/>
          <c:yMode val="edge"/>
          <c:x val="0.39341297997091018"/>
          <c:y val="1.342281879194630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'Years Sales'!$B$3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'Years Sales'!$A$4:$A$19</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'Years Sales'!$B$4:$B$19</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0-FC99-4BA3-95F2-AB5C8B7F3862}"/>
            </c:ext>
          </c:extLst>
        </c:ser>
        <c:dLbls>
          <c:showLegendKey val="0"/>
          <c:showVal val="0"/>
          <c:showCatName val="0"/>
          <c:showSerName val="0"/>
          <c:showPercent val="0"/>
          <c:showBubbleSize val="0"/>
        </c:dLbls>
        <c:marker val="1"/>
        <c:smooth val="0"/>
        <c:axId val="69052335"/>
        <c:axId val="69051375"/>
      </c:lineChart>
      <c:catAx>
        <c:axId val="690523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051375"/>
        <c:crosses val="autoZero"/>
        <c:auto val="1"/>
        <c:lblAlgn val="ctr"/>
        <c:lblOffset val="100"/>
        <c:noMultiLvlLbl val="0"/>
      </c:catAx>
      <c:valAx>
        <c:axId val="690513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05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 data (1).xlsx]Product category!PivotTable3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b="1"/>
              <a:t>Product</a:t>
            </a:r>
            <a:r>
              <a:rPr lang="en-US" sz="1200" b="1" baseline="0"/>
              <a:t> category by sales</a:t>
            </a:r>
            <a:endParaRPr lang="en-US" sz="1200" b="1"/>
          </a:p>
        </c:rich>
      </c:tx>
      <c:layout>
        <c:manualLayout>
          <c:xMode val="edge"/>
          <c:yMode val="edge"/>
          <c:x val="0.28843876909752481"/>
          <c:y val="3.2000000000000001E-2"/>
        </c:manualLayout>
      </c:layout>
      <c:overlay val="0"/>
      <c:spPr>
        <a:solidFill>
          <a:schemeClr val="bg1"/>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'Product category'!$B$3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'Product category'!$A$4:$A$9</c:f>
              <c:strCache>
                <c:ptCount val="5"/>
                <c:pt idx="0">
                  <c:v>Books</c:v>
                </c:pt>
                <c:pt idx="1">
                  <c:v>Clothing</c:v>
                </c:pt>
                <c:pt idx="2">
                  <c:v>Electronics</c:v>
                </c:pt>
                <c:pt idx="3">
                  <c:v>Furniture</c:v>
                </c:pt>
                <c:pt idx="4">
                  <c:v>Office Supplies</c:v>
                </c:pt>
              </c:strCache>
            </c:strRef>
          </c:cat>
          <c:val>
            <c:numRef>
              <c:f>'Product category'!$B$4:$B$9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EC35-4691-8EB2-C8DBA7F11E8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image" Target="../media/image6.sv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9</xdr:col>
      <xdr:colOff>251460</xdr:colOff>
      <xdr:row>0</xdr:row>
      <xdr:rowOff>175260</xdr:rowOff>
    </xdr:from>
    <xdr:to>
      <xdr:col>15</xdr:col>
      <xdr:colOff>251460</xdr:colOff>
      <xdr:row>10</xdr:row>
      <xdr:rowOff>175260</xdr:rowOff>
    </xdr:to>
    <xdr:graphicFrame macro="">
      <xdr:nvGraphicFramePr>
        <xdr:cNvPr id="2" name="Chart 1">
          <a:extLst>
            <a:ext uri="{FF2B5EF4-FFF2-40B4-BE49-F238E27FC236}">
              <a16:creationId xmlns:a16="http://schemas.microsoft.com/office/drawing/2014/main" id="{986A7E95-5800-841E-93D8-1499285FC3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160020</xdr:colOff>
      <xdr:row>0</xdr:row>
      <xdr:rowOff>133350</xdr:rowOff>
    </xdr:from>
    <xdr:to>
      <xdr:col>11</xdr:col>
      <xdr:colOff>464820</xdr:colOff>
      <xdr:row>15</xdr:row>
      <xdr:rowOff>133350</xdr:rowOff>
    </xdr:to>
    <xdr:graphicFrame macro="">
      <xdr:nvGraphicFramePr>
        <xdr:cNvPr id="2" name="Chart 1">
          <a:extLst>
            <a:ext uri="{FF2B5EF4-FFF2-40B4-BE49-F238E27FC236}">
              <a16:creationId xmlns:a16="http://schemas.microsoft.com/office/drawing/2014/main" id="{B17B297E-9D38-0CFC-B7FA-233B08939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0.07167</cdr:x>
      <cdr:y>0.11944</cdr:y>
    </cdr:to>
    <cdr:pic>
      <cdr:nvPicPr>
        <cdr:cNvPr id="3" name="Graphic 2" descr="Bar chart with solid fill">
          <a:extLst xmlns:a="http://schemas.openxmlformats.org/drawingml/2006/main">
            <a:ext uri="{FF2B5EF4-FFF2-40B4-BE49-F238E27FC236}">
              <a16:creationId xmlns:a16="http://schemas.microsoft.com/office/drawing/2014/main" id="{B141AF7E-518A-777D-A1CD-307139B1B03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0"/>
          <a:ext cx="327660" cy="327660"/>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4</xdr:col>
      <xdr:colOff>220980</xdr:colOff>
      <xdr:row>0</xdr:row>
      <xdr:rowOff>60960</xdr:rowOff>
    </xdr:from>
    <xdr:to>
      <xdr:col>12</xdr:col>
      <xdr:colOff>198120</xdr:colOff>
      <xdr:row>15</xdr:row>
      <xdr:rowOff>156210</xdr:rowOff>
    </xdr:to>
    <xdr:graphicFrame macro="">
      <xdr:nvGraphicFramePr>
        <xdr:cNvPr id="4" name="Chart 3">
          <a:extLst>
            <a:ext uri="{FF2B5EF4-FFF2-40B4-BE49-F238E27FC236}">
              <a16:creationId xmlns:a16="http://schemas.microsoft.com/office/drawing/2014/main" id="{76AEAF27-4C07-C519-187E-398AB74341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cdr:x>
      <cdr:y>0</cdr:y>
    </cdr:from>
    <cdr:to>
      <cdr:x>0.06436</cdr:x>
      <cdr:y>0.11007</cdr:y>
    </cdr:to>
    <cdr:pic>
      <cdr:nvPicPr>
        <cdr:cNvPr id="3" name="Graphic 2" descr="Statistics with solid fill">
          <a:extLst xmlns:a="http://schemas.openxmlformats.org/drawingml/2006/main">
            <a:ext uri="{FF2B5EF4-FFF2-40B4-BE49-F238E27FC236}">
              <a16:creationId xmlns:a16="http://schemas.microsoft.com/office/drawing/2014/main" id="{477B2238-DB1E-FE4D-CB1F-3AC6DFDA38B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0"/>
          <a:ext cx="312420" cy="31242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4</xdr:col>
      <xdr:colOff>167640</xdr:colOff>
      <xdr:row>1</xdr:row>
      <xdr:rowOff>11430</xdr:rowOff>
    </xdr:from>
    <xdr:to>
      <xdr:col>10</xdr:col>
      <xdr:colOff>297180</xdr:colOff>
      <xdr:row>14</xdr:row>
      <xdr:rowOff>15240</xdr:rowOff>
    </xdr:to>
    <xdr:graphicFrame macro="">
      <xdr:nvGraphicFramePr>
        <xdr:cNvPr id="2" name="Chart 1">
          <a:extLst>
            <a:ext uri="{FF2B5EF4-FFF2-40B4-BE49-F238E27FC236}">
              <a16:creationId xmlns:a16="http://schemas.microsoft.com/office/drawing/2014/main" id="{6E4068F1-6B19-32EC-53DB-5B0557F4E2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cdr:x>
      <cdr:y>0</cdr:y>
    </cdr:from>
    <cdr:to>
      <cdr:x>0.12374</cdr:x>
      <cdr:y>0.1968</cdr:y>
    </cdr:to>
    <cdr:pic>
      <cdr:nvPicPr>
        <cdr:cNvPr id="3" name="Graphic 2" descr="Bullseye with solid fill">
          <a:extLst xmlns:a="http://schemas.openxmlformats.org/drawingml/2006/main">
            <a:ext uri="{FF2B5EF4-FFF2-40B4-BE49-F238E27FC236}">
              <a16:creationId xmlns:a16="http://schemas.microsoft.com/office/drawing/2014/main" id="{DCACD2D0-F9B4-73F2-0A4A-A6DBECC48DC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0"/>
          <a:ext cx="468630" cy="46863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jal" refreshedDate="46028.899714583335" createdVersion="8" refreshedVersion="8" minRefreshableVersion="3" recordCount="200" xr:uid="{58E94F99-7135-4F22-8318-7D1067D7A66A}">
  <cacheSource type="worksheet">
    <worksheetSource ref="A1:K201" sheet="Dataset"/>
  </cacheSource>
  <cacheFields count="14">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3"/>
    </cacheField>
    <cacheField name="Profit" numFmtId="0">
      <sharedItems containsSemiMixedTypes="0" containsString="0" containsNumber="1" minValue="64.63" maxValue="769.46"/>
    </cacheField>
    <cacheField name="Total parchase" numFmtId="0">
      <sharedItems containsSemiMixedTypes="0" containsString="0" containsNumber="1" minValue="309.42" maxValue="27435.62"/>
    </cacheField>
    <cacheField name="06-01-2026 21:33" numFmtId="22">
      <sharedItems containsSemiMixedTypes="0" containsNonDate="0" containsDate="1" containsString="0" minDate="2026-01-06T21:33:21" maxDate="2026-01-06T21:33:21"/>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x v="0"/>
    <n v="331.55"/>
    <n v="4144.3599999999997"/>
    <d v="2026-01-06T21:33:21"/>
  </r>
  <r>
    <s v="CUST012"/>
    <s v="Robert Anderson"/>
    <x v="0"/>
    <x v="1"/>
    <n v="1101.28"/>
    <n v="3"/>
    <n v="0.2"/>
    <x v="1"/>
    <n v="440.51"/>
    <n v="3303.84"/>
    <d v="2026-01-06T21:33:21"/>
  </r>
  <r>
    <s v="CUST017"/>
    <s v="James Taylor"/>
    <x v="1"/>
    <x v="0"/>
    <n v="713.34"/>
    <n v="17"/>
    <n v="0"/>
    <x v="2"/>
    <n v="285.33999999999997"/>
    <n v="12126.78"/>
    <d v="2026-01-06T21:33:21"/>
  </r>
  <r>
    <s v="CUST005"/>
    <s v="Robert Anderson"/>
    <x v="2"/>
    <x v="2"/>
    <n v="760.93"/>
    <n v="4"/>
    <n v="0.15"/>
    <x v="2"/>
    <n v="161.69999999999999"/>
    <n v="3043.72"/>
    <d v="2026-01-06T21:33:21"/>
  </r>
  <r>
    <s v="CUST030"/>
    <s v="James Wilson"/>
    <x v="3"/>
    <x v="0"/>
    <n v="847"/>
    <n v="12"/>
    <n v="0.2"/>
    <x v="3"/>
    <n v="271.04000000000002"/>
    <n v="10164"/>
    <d v="2026-01-06T21:33:21"/>
  </r>
  <r>
    <s v="CUST007"/>
    <s v="Michael Anderson"/>
    <x v="3"/>
    <x v="3"/>
    <n v="965.64"/>
    <n v="8"/>
    <n v="0.1"/>
    <x v="4"/>
    <n v="304.18"/>
    <n v="7725.12"/>
    <d v="2026-01-06T21:33:21"/>
  </r>
  <r>
    <s v="CUST001"/>
    <s v="Linda Wilson"/>
    <x v="0"/>
    <x v="2"/>
    <n v="1317.53"/>
    <n v="12"/>
    <n v="0.05"/>
    <x v="4"/>
    <n v="312.91000000000003"/>
    <n v="15810.36"/>
    <d v="2026-01-06T21:33:21"/>
  </r>
  <r>
    <s v="CUST026"/>
    <s v="Mary Davis"/>
    <x v="1"/>
    <x v="3"/>
    <n v="1074.47"/>
    <n v="6"/>
    <n v="0.2"/>
    <x v="5"/>
    <n v="300.85000000000002"/>
    <n v="6446.82"/>
    <d v="2026-01-06T21:33:21"/>
  </r>
  <r>
    <s v="CUST009"/>
    <s v="Linda Jackson"/>
    <x v="4"/>
    <x v="0"/>
    <n v="501.54"/>
    <n v="11"/>
    <n v="0.05"/>
    <x v="5"/>
    <n v="190.59"/>
    <n v="5516.9400000000005"/>
    <d v="2026-01-06T21:33:21"/>
  </r>
  <r>
    <s v="CUST010"/>
    <s v="David Thomas"/>
    <x v="4"/>
    <x v="1"/>
    <n v="737.31"/>
    <n v="2"/>
    <n v="0.05"/>
    <x v="5"/>
    <n v="350.22"/>
    <n v="1474.62"/>
    <d v="2026-01-06T21:33:21"/>
  </r>
  <r>
    <s v="CUST014"/>
    <s v="Emma Davis"/>
    <x v="0"/>
    <x v="4"/>
    <n v="1572.82"/>
    <n v="6"/>
    <n v="0.05"/>
    <x v="6"/>
    <n v="672.38"/>
    <n v="9436.92"/>
    <d v="2026-01-06T21:33:21"/>
  </r>
  <r>
    <s v="CUST014"/>
    <s v="David Thomas"/>
    <x v="4"/>
    <x v="0"/>
    <n v="1343.13"/>
    <n v="14"/>
    <n v="0.15"/>
    <x v="7"/>
    <n v="456.66"/>
    <n v="18803.82"/>
    <d v="2026-01-06T21:33:21"/>
  </r>
  <r>
    <s v="CUST007"/>
    <s v="Michael Anderson"/>
    <x v="4"/>
    <x v="0"/>
    <n v="1191.58"/>
    <n v="14"/>
    <n v="0.05"/>
    <x v="8"/>
    <n v="452.8"/>
    <n v="16682.12"/>
    <d v="2026-01-06T21:33:21"/>
  </r>
  <r>
    <s v="CUST023"/>
    <s v="Robert Anderson"/>
    <x v="0"/>
    <x v="3"/>
    <n v="822.28"/>
    <n v="7"/>
    <n v="0.05"/>
    <x v="8"/>
    <n v="273.41000000000003"/>
    <n v="5755.96"/>
    <d v="2026-01-06T21:33:21"/>
  </r>
  <r>
    <s v="CUST029"/>
    <s v="David Smith"/>
    <x v="3"/>
    <x v="3"/>
    <n v="521.66999999999996"/>
    <n v="15"/>
    <n v="0.15"/>
    <x v="9"/>
    <n v="155.19999999999999"/>
    <n v="7825.0499999999993"/>
    <d v="2026-01-06T21:33:21"/>
  </r>
  <r>
    <s v="CUST005"/>
    <s v="Sarah Anderson"/>
    <x v="2"/>
    <x v="2"/>
    <n v="1502.93"/>
    <n v="14"/>
    <n v="0.2"/>
    <x v="10"/>
    <n v="300.58999999999997"/>
    <n v="21041.02"/>
    <d v="2026-01-06T21:33:21"/>
  </r>
  <r>
    <s v="CUST008"/>
    <s v="Robert Anderson"/>
    <x v="2"/>
    <x v="0"/>
    <n v="877.58"/>
    <n v="10"/>
    <n v="0.15"/>
    <x v="11"/>
    <n v="298.38"/>
    <n v="8775.8000000000011"/>
    <d v="2026-01-06T21:33:21"/>
  </r>
  <r>
    <s v="CUST001"/>
    <s v="Lisa Thomas"/>
    <x v="0"/>
    <x v="0"/>
    <n v="636.70000000000005"/>
    <n v="4"/>
    <n v="0.2"/>
    <x v="11"/>
    <n v="203.74"/>
    <n v="2546.8000000000002"/>
    <d v="2026-01-06T21:33:21"/>
  </r>
  <r>
    <s v="CUST006"/>
    <s v="Mary Jackson"/>
    <x v="0"/>
    <x v="0"/>
    <n v="1506.14"/>
    <n v="13"/>
    <n v="0.2"/>
    <x v="12"/>
    <n v="481.96"/>
    <n v="19579.82"/>
    <d v="2026-01-06T21:33:21"/>
  </r>
  <r>
    <s v="CUST026"/>
    <s v="Mary Davis"/>
    <x v="4"/>
    <x v="2"/>
    <n v="645.02"/>
    <n v="4"/>
    <n v="0"/>
    <x v="13"/>
    <n v="161.26"/>
    <n v="2580.08"/>
    <d v="2026-01-06T21:33:21"/>
  </r>
  <r>
    <s v="CUST007"/>
    <s v="Lisa Davis"/>
    <x v="2"/>
    <x v="1"/>
    <n v="953.3"/>
    <n v="11"/>
    <n v="0"/>
    <x v="14"/>
    <n v="476.65"/>
    <n v="10486.3"/>
    <d v="2026-01-06T21:33:21"/>
  </r>
  <r>
    <s v="CUST022"/>
    <s v="Robert Anderson"/>
    <x v="3"/>
    <x v="2"/>
    <n v="388.56"/>
    <n v="14"/>
    <n v="0.15"/>
    <x v="15"/>
    <n v="82.57"/>
    <n v="5439.84"/>
    <d v="2026-01-06T21:33:21"/>
  </r>
  <r>
    <s v="CUST019"/>
    <s v="Mary Davis"/>
    <x v="0"/>
    <x v="0"/>
    <n v="743.17"/>
    <n v="9"/>
    <n v="0"/>
    <x v="15"/>
    <n v="297.27"/>
    <n v="6688.53"/>
    <d v="2026-01-06T21:33:21"/>
  </r>
  <r>
    <s v="CUST023"/>
    <s v="Mary Davis"/>
    <x v="4"/>
    <x v="2"/>
    <n v="706.37"/>
    <n v="6"/>
    <n v="0"/>
    <x v="15"/>
    <n v="176.59"/>
    <n v="4238.22"/>
    <d v="2026-01-06T21:33:21"/>
  </r>
  <r>
    <s v="CUST012"/>
    <s v="Mary Davis"/>
    <x v="4"/>
    <x v="4"/>
    <n v="925.31"/>
    <n v="8"/>
    <n v="0.1"/>
    <x v="16"/>
    <n v="374.75"/>
    <n v="7402.48"/>
    <d v="2026-01-06T21:33:21"/>
  </r>
  <r>
    <s v="CUST010"/>
    <s v="Linda Brown"/>
    <x v="2"/>
    <x v="2"/>
    <n v="1173.1199999999999"/>
    <n v="18"/>
    <n v="0"/>
    <x v="16"/>
    <n v="293.27999999999997"/>
    <n v="21116.159999999996"/>
    <d v="2026-01-06T21:33:21"/>
  </r>
  <r>
    <s v="CUST030"/>
    <s v="John Brown"/>
    <x v="3"/>
    <x v="3"/>
    <n v="675.54"/>
    <n v="17"/>
    <n v="0"/>
    <x v="17"/>
    <n v="236.44"/>
    <n v="11484.18"/>
    <d v="2026-01-06T21:33:21"/>
  </r>
  <r>
    <s v="CUST007"/>
    <s v="Robert Anderson"/>
    <x v="4"/>
    <x v="0"/>
    <n v="939.09"/>
    <n v="2"/>
    <n v="0.05"/>
    <x v="18"/>
    <n v="356.85"/>
    <n v="1878.18"/>
    <d v="2026-01-06T21:33:21"/>
  </r>
  <r>
    <s v="CUST028"/>
    <s v="Linda Taylor"/>
    <x v="1"/>
    <x v="4"/>
    <n v="983.34"/>
    <n v="19"/>
    <n v="0.1"/>
    <x v="19"/>
    <n v="398.25"/>
    <n v="18683.46"/>
    <d v="2026-01-06T21:33:21"/>
  </r>
  <r>
    <s v="CUST028"/>
    <s v="James Wilson"/>
    <x v="2"/>
    <x v="2"/>
    <n v="801.21"/>
    <n v="3"/>
    <n v="0.2"/>
    <x v="19"/>
    <n v="160.24"/>
    <n v="2403.63"/>
    <d v="2026-01-06T21:33:21"/>
  </r>
  <r>
    <s v="CUST025"/>
    <s v="David Brown"/>
    <x v="3"/>
    <x v="2"/>
    <n v="1450.71"/>
    <n v="5"/>
    <n v="0.1"/>
    <x v="20"/>
    <n v="326.41000000000003"/>
    <n v="7253.55"/>
    <d v="2026-01-06T21:33:21"/>
  </r>
  <r>
    <s v="CUST022"/>
    <s v="David Davis"/>
    <x v="4"/>
    <x v="0"/>
    <n v="1023.21"/>
    <n v="18"/>
    <n v="0.05"/>
    <x v="21"/>
    <n v="388.82"/>
    <n v="18417.78"/>
    <d v="2026-01-06T21:33:21"/>
  </r>
  <r>
    <s v="CUST001"/>
    <s v="Mary Jackson"/>
    <x v="0"/>
    <x v="3"/>
    <n v="853.72"/>
    <n v="5"/>
    <n v="0.15"/>
    <x v="21"/>
    <n v="253.98"/>
    <n v="4268.6000000000004"/>
    <d v="2026-01-06T21:33:21"/>
  </r>
  <r>
    <s v="CUST021"/>
    <s v="Sarah Anderson"/>
    <x v="2"/>
    <x v="2"/>
    <n v="967.89"/>
    <n v="10"/>
    <n v="0.1"/>
    <x v="22"/>
    <n v="217.78"/>
    <n v="9678.9"/>
    <d v="2026-01-06T21:33:21"/>
  </r>
  <r>
    <s v="CUST015"/>
    <s v="Linda Taylor"/>
    <x v="3"/>
    <x v="4"/>
    <n v="1200.9000000000001"/>
    <n v="14"/>
    <n v="0.05"/>
    <x v="22"/>
    <n v="513.38"/>
    <n v="16812.600000000002"/>
    <d v="2026-01-06T21:33:21"/>
  </r>
  <r>
    <s v="CUST012"/>
    <s v="Michael Anderson"/>
    <x v="0"/>
    <x v="0"/>
    <n v="472.38"/>
    <n v="12"/>
    <n v="0.2"/>
    <x v="22"/>
    <n v="151.16"/>
    <n v="5668.5599999999995"/>
    <d v="2026-01-06T21:33:21"/>
  </r>
  <r>
    <s v="CUST019"/>
    <s v="David Brown"/>
    <x v="1"/>
    <x v="4"/>
    <n v="840.92"/>
    <n v="9"/>
    <n v="0.05"/>
    <x v="22"/>
    <n v="359.49"/>
    <n v="7568.28"/>
    <d v="2026-01-06T21:33:21"/>
  </r>
  <r>
    <s v="CUST028"/>
    <s v="Lisa Davis"/>
    <x v="4"/>
    <x v="3"/>
    <n v="1410.06"/>
    <n v="11"/>
    <n v="0.05"/>
    <x v="23"/>
    <n v="468.84"/>
    <n v="15510.66"/>
    <d v="2026-01-06T21:33:21"/>
  </r>
  <r>
    <s v="CUST008"/>
    <s v="Mary Wilson"/>
    <x v="4"/>
    <x v="3"/>
    <n v="773.09"/>
    <n v="13"/>
    <n v="0.15"/>
    <x v="23"/>
    <n v="229.99"/>
    <n v="10050.17"/>
    <d v="2026-01-06T21:33:21"/>
  </r>
  <r>
    <s v="CUST016"/>
    <s v="Emma Wilson"/>
    <x v="1"/>
    <x v="0"/>
    <n v="580.42999999999995"/>
    <n v="19"/>
    <n v="0.15"/>
    <x v="24"/>
    <n v="197.35"/>
    <n v="11028.169999999998"/>
    <d v="2026-01-06T21:33:21"/>
  </r>
  <r>
    <s v="CUST005"/>
    <s v="David Smith"/>
    <x v="2"/>
    <x v="0"/>
    <n v="1151.21"/>
    <n v="15"/>
    <n v="0.1"/>
    <x v="25"/>
    <n v="414.44"/>
    <n v="17268.150000000001"/>
    <d v="2026-01-06T21:33:21"/>
  </r>
  <r>
    <s v="CUST028"/>
    <s v="James Wilson"/>
    <x v="4"/>
    <x v="4"/>
    <n v="1025.98"/>
    <n v="5"/>
    <n v="0.2"/>
    <x v="26"/>
    <n v="369.35"/>
    <n v="5129.8999999999996"/>
    <d v="2026-01-06T21:33:21"/>
  </r>
  <r>
    <s v="CUST023"/>
    <s v="David Davis"/>
    <x v="1"/>
    <x v="4"/>
    <n v="556.41999999999996"/>
    <n v="11"/>
    <n v="0.15"/>
    <x v="26"/>
    <n v="212.83"/>
    <n v="6120.62"/>
    <d v="2026-01-06T21:33:21"/>
  </r>
  <r>
    <s v="CUST021"/>
    <s v="James Wilson"/>
    <x v="4"/>
    <x v="0"/>
    <n v="840.85"/>
    <n v="19"/>
    <n v="0.1"/>
    <x v="27"/>
    <n v="302.70999999999998"/>
    <n v="15976.15"/>
    <d v="2026-01-06T21:33:21"/>
  </r>
  <r>
    <s v="CUST026"/>
    <s v="Emma Wilson"/>
    <x v="3"/>
    <x v="3"/>
    <n v="1227.25"/>
    <n v="12"/>
    <n v="0.15"/>
    <x v="27"/>
    <n v="365.11"/>
    <n v="14727"/>
    <d v="2026-01-06T21:33:21"/>
  </r>
  <r>
    <s v="CUST017"/>
    <s v="Linda Davis"/>
    <x v="4"/>
    <x v="2"/>
    <n v="856.7"/>
    <n v="2"/>
    <n v="0"/>
    <x v="28"/>
    <n v="214.18"/>
    <n v="1713.4"/>
    <d v="2026-01-06T21:33:21"/>
  </r>
  <r>
    <s v="CUST025"/>
    <s v="David Davis"/>
    <x v="4"/>
    <x v="4"/>
    <n v="1225.42"/>
    <n v="8"/>
    <n v="0.15"/>
    <x v="28"/>
    <n v="468.72"/>
    <n v="9803.36"/>
    <d v="2026-01-06T21:33:21"/>
  </r>
  <r>
    <s v="CUST011"/>
    <s v="Mary Davis"/>
    <x v="3"/>
    <x v="4"/>
    <n v="1001.57"/>
    <n v="12"/>
    <n v="0"/>
    <x v="29"/>
    <n v="450.71"/>
    <n v="12018.84"/>
    <d v="2026-01-06T21:33:21"/>
  </r>
  <r>
    <s v="CUST021"/>
    <s v="Michael Anderson"/>
    <x v="1"/>
    <x v="3"/>
    <n v="1186.8499999999999"/>
    <n v="19"/>
    <n v="0.2"/>
    <x v="30"/>
    <n v="332.32"/>
    <n v="22550.149999999998"/>
    <d v="2026-01-06T21:33:21"/>
  </r>
  <r>
    <s v="CUST008"/>
    <s v="John Brown"/>
    <x v="2"/>
    <x v="2"/>
    <n v="775.45"/>
    <n v="6"/>
    <n v="0.1"/>
    <x v="31"/>
    <n v="174.48"/>
    <n v="4652.7000000000007"/>
    <d v="2026-01-06T21:33:21"/>
  </r>
  <r>
    <s v="CUST007"/>
    <s v="Linda Jackson"/>
    <x v="2"/>
    <x v="2"/>
    <n v="1021.47"/>
    <n v="6"/>
    <n v="0.05"/>
    <x v="32"/>
    <n v="242.6"/>
    <n v="6128.82"/>
    <d v="2026-01-06T21:33:21"/>
  </r>
  <r>
    <s v="CUST015"/>
    <s v="James Wilson"/>
    <x v="2"/>
    <x v="1"/>
    <n v="1226.6199999999999"/>
    <n v="7"/>
    <n v="0.1"/>
    <x v="33"/>
    <n v="551.98"/>
    <n v="8586.34"/>
    <d v="2026-01-06T21:33:21"/>
  </r>
  <r>
    <s v="CUST030"/>
    <s v="Sarah Davis"/>
    <x v="2"/>
    <x v="3"/>
    <n v="1086.93"/>
    <n v="2"/>
    <n v="0"/>
    <x v="34"/>
    <n v="380.43"/>
    <n v="2173.86"/>
    <d v="2026-01-06T21:33:21"/>
  </r>
  <r>
    <s v="CUST002"/>
    <s v="Lisa Davis"/>
    <x v="0"/>
    <x v="0"/>
    <n v="942.9"/>
    <n v="18"/>
    <n v="0.1"/>
    <x v="35"/>
    <n v="339.44"/>
    <n v="16972.2"/>
    <d v="2026-01-06T21:33:21"/>
  </r>
  <r>
    <s v="CUST009"/>
    <s v="Emma Davis"/>
    <x v="3"/>
    <x v="2"/>
    <n v="818.8"/>
    <n v="15"/>
    <n v="0.15"/>
    <x v="36"/>
    <n v="173.99"/>
    <n v="12282"/>
    <d v="2026-01-06T21:33:21"/>
  </r>
  <r>
    <s v="CUST005"/>
    <s v="Robert Anderson"/>
    <x v="2"/>
    <x v="3"/>
    <n v="919.04"/>
    <n v="10"/>
    <n v="0.2"/>
    <x v="36"/>
    <n v="257.33"/>
    <n v="9190.4"/>
    <d v="2026-01-06T21:33:21"/>
  </r>
  <r>
    <s v="CUST030"/>
    <s v="Emma Taylor"/>
    <x v="4"/>
    <x v="0"/>
    <n v="973.26"/>
    <n v="11"/>
    <n v="0"/>
    <x v="37"/>
    <n v="389.3"/>
    <n v="10705.86"/>
    <d v="2026-01-06T21:33:21"/>
  </r>
  <r>
    <s v="CUST029"/>
    <s v="Sarah Davis"/>
    <x v="3"/>
    <x v="2"/>
    <n v="741.61"/>
    <n v="1"/>
    <n v="0.2"/>
    <x v="38"/>
    <n v="148.32"/>
    <n v="741.61"/>
    <d v="2026-01-06T21:33:21"/>
  </r>
  <r>
    <s v="CUST003"/>
    <s v="Emma Davis"/>
    <x v="3"/>
    <x v="0"/>
    <n v="1248.82"/>
    <n v="2"/>
    <n v="0.1"/>
    <x v="39"/>
    <n v="449.58"/>
    <n v="2497.64"/>
    <d v="2026-01-06T21:33:21"/>
  </r>
  <r>
    <s v="CUST012"/>
    <s v="Mary Wilson"/>
    <x v="0"/>
    <x v="1"/>
    <n v="1360.36"/>
    <n v="17"/>
    <n v="0"/>
    <x v="39"/>
    <n v="680.18"/>
    <n v="23126.12"/>
    <d v="2026-01-06T21:33:21"/>
  </r>
  <r>
    <s v="CUST021"/>
    <s v="Mary Davis"/>
    <x v="1"/>
    <x v="0"/>
    <n v="1383.3"/>
    <n v="8"/>
    <n v="0.1"/>
    <x v="40"/>
    <n v="497.99"/>
    <n v="11066.4"/>
    <d v="2026-01-06T21:33:21"/>
  </r>
  <r>
    <s v="CUST010"/>
    <s v="David Brown"/>
    <x v="4"/>
    <x v="4"/>
    <n v="488.99"/>
    <n v="9"/>
    <n v="0"/>
    <x v="41"/>
    <n v="220.05"/>
    <n v="4400.91"/>
    <d v="2026-01-06T21:33:21"/>
  </r>
  <r>
    <s v="CUST026"/>
    <s v="Mary Davis"/>
    <x v="1"/>
    <x v="3"/>
    <n v="933.71"/>
    <n v="17"/>
    <n v="0.1"/>
    <x v="42"/>
    <n v="294.12"/>
    <n v="15873.07"/>
    <d v="2026-01-06T21:33:21"/>
  </r>
  <r>
    <s v="CUST003"/>
    <s v="James Davis"/>
    <x v="0"/>
    <x v="2"/>
    <n v="1005.53"/>
    <n v="17"/>
    <n v="0.2"/>
    <x v="42"/>
    <n v="201.11"/>
    <n v="17094.009999999998"/>
    <d v="2026-01-06T21:33:21"/>
  </r>
  <r>
    <s v="CUST029"/>
    <s v="Emma Wilson"/>
    <x v="2"/>
    <x v="2"/>
    <n v="1100.0999999999999"/>
    <n v="5"/>
    <n v="0.05"/>
    <x v="43"/>
    <n v="261.27"/>
    <n v="5500.5"/>
    <d v="2026-01-06T21:33:21"/>
  </r>
  <r>
    <s v="CUST003"/>
    <s v="James Wilson"/>
    <x v="3"/>
    <x v="3"/>
    <n v="1034.7"/>
    <n v="15"/>
    <n v="0.15"/>
    <x v="44"/>
    <n v="307.82"/>
    <n v="15520.5"/>
    <d v="2026-01-06T21:33:21"/>
  </r>
  <r>
    <s v="CUST002"/>
    <s v="Mary Davis"/>
    <x v="2"/>
    <x v="0"/>
    <n v="876.44"/>
    <n v="12"/>
    <n v="0.05"/>
    <x v="45"/>
    <n v="333.05"/>
    <n v="10517.28"/>
    <d v="2026-01-06T21:33:21"/>
  </r>
  <r>
    <s v="CUST020"/>
    <s v="David Brown"/>
    <x v="0"/>
    <x v="3"/>
    <n v="1371.34"/>
    <n v="5"/>
    <n v="0.05"/>
    <x v="45"/>
    <n v="455.97"/>
    <n v="6856.7"/>
    <d v="2026-01-06T21:33:21"/>
  </r>
  <r>
    <s v="CUST021"/>
    <s v="Mary Jackson"/>
    <x v="3"/>
    <x v="2"/>
    <n v="1020.26"/>
    <n v="11"/>
    <n v="0.05"/>
    <x v="46"/>
    <n v="242.31"/>
    <n v="11222.86"/>
    <d v="2026-01-06T21:33:21"/>
  </r>
  <r>
    <s v="CUST008"/>
    <s v="James Davis"/>
    <x v="4"/>
    <x v="4"/>
    <n v="804.81"/>
    <n v="1"/>
    <n v="0.05"/>
    <x v="47"/>
    <n v="344.06"/>
    <n v="804.81"/>
    <d v="2026-01-06T21:33:21"/>
  </r>
  <r>
    <s v="CUST030"/>
    <s v="David Brown"/>
    <x v="4"/>
    <x v="2"/>
    <n v="608.66"/>
    <n v="1"/>
    <n v="0.05"/>
    <x v="48"/>
    <n v="144.56"/>
    <n v="608.66"/>
    <d v="2026-01-06T21:33:21"/>
  </r>
  <r>
    <s v="CUST020"/>
    <s v="Linda Moore"/>
    <x v="2"/>
    <x v="4"/>
    <n v="981.2"/>
    <n v="19"/>
    <n v="0"/>
    <x v="49"/>
    <n v="441.54"/>
    <n v="18642.8"/>
    <d v="2026-01-06T21:33:21"/>
  </r>
  <r>
    <s v="CUST024"/>
    <s v="David Brown"/>
    <x v="1"/>
    <x v="2"/>
    <n v="539.77"/>
    <n v="10"/>
    <n v="0.15"/>
    <x v="50"/>
    <n v="114.7"/>
    <n v="5397.7"/>
    <d v="2026-01-06T21:33:21"/>
  </r>
  <r>
    <s v="CUST012"/>
    <s v="David Anderson"/>
    <x v="2"/>
    <x v="0"/>
    <n v="804.45"/>
    <n v="5"/>
    <n v="0.2"/>
    <x v="50"/>
    <n v="257.42"/>
    <n v="4022.25"/>
    <d v="2026-01-06T21:33:21"/>
  </r>
  <r>
    <s v="CUST024"/>
    <s v="Emma Davis"/>
    <x v="0"/>
    <x v="2"/>
    <n v="1526.6"/>
    <n v="13"/>
    <n v="0.2"/>
    <x v="51"/>
    <n v="305.32"/>
    <n v="19845.8"/>
    <d v="2026-01-06T21:33:21"/>
  </r>
  <r>
    <s v="CUST012"/>
    <s v="Linda Wilson"/>
    <x v="0"/>
    <x v="2"/>
    <n v="1215.26"/>
    <n v="5"/>
    <n v="0.15"/>
    <x v="52"/>
    <n v="258.24"/>
    <n v="6076.3"/>
    <d v="2026-01-06T21:33:21"/>
  </r>
  <r>
    <s v="CUST005"/>
    <s v="Linda Taylor"/>
    <x v="4"/>
    <x v="3"/>
    <n v="1261.3399999999999"/>
    <n v="3"/>
    <n v="0"/>
    <x v="53"/>
    <n v="441.47"/>
    <n v="3784.0199999999995"/>
    <d v="2026-01-06T21:33:21"/>
  </r>
  <r>
    <s v="CUST004"/>
    <s v="Lisa Thomas"/>
    <x v="3"/>
    <x v="3"/>
    <n v="518.07000000000005"/>
    <n v="7"/>
    <n v="0.05"/>
    <x v="54"/>
    <n v="172.26"/>
    <n v="3626.4900000000002"/>
    <d v="2026-01-06T21:33:21"/>
  </r>
  <r>
    <s v="CUST026"/>
    <s v="Linda Wilson"/>
    <x v="0"/>
    <x v="4"/>
    <n v="1111.3399999999999"/>
    <n v="1"/>
    <n v="0"/>
    <x v="55"/>
    <n v="500.1"/>
    <n v="1111.3399999999999"/>
    <d v="2026-01-06T21:33:21"/>
  </r>
  <r>
    <s v="CUST030"/>
    <s v="Mary Davis"/>
    <x v="1"/>
    <x v="1"/>
    <n v="1291.47"/>
    <n v="18"/>
    <n v="0.1"/>
    <x v="56"/>
    <n v="581.16"/>
    <n v="23246.46"/>
    <d v="2026-01-06T21:33:21"/>
  </r>
  <r>
    <s v="CUST007"/>
    <s v="David Brown"/>
    <x v="3"/>
    <x v="0"/>
    <n v="679.71"/>
    <n v="19"/>
    <n v="0"/>
    <x v="57"/>
    <n v="271.88"/>
    <n v="12914.490000000002"/>
    <d v="2026-01-06T21:33:21"/>
  </r>
  <r>
    <s v="CUST020"/>
    <s v="Linda Jackson"/>
    <x v="1"/>
    <x v="3"/>
    <n v="1143.69"/>
    <n v="17"/>
    <n v="0"/>
    <x v="57"/>
    <n v="400.29"/>
    <n v="19442.73"/>
    <d v="2026-01-06T21:33:21"/>
  </r>
  <r>
    <s v="CUST028"/>
    <s v="Linda Brown"/>
    <x v="4"/>
    <x v="2"/>
    <n v="790.08"/>
    <n v="7"/>
    <n v="0.1"/>
    <x v="58"/>
    <n v="177.77"/>
    <n v="5530.56"/>
    <d v="2026-01-06T21:33:21"/>
  </r>
  <r>
    <s v="CUST005"/>
    <s v="Lisa Davis"/>
    <x v="4"/>
    <x v="0"/>
    <n v="1070.68"/>
    <n v="7"/>
    <n v="0.05"/>
    <x v="58"/>
    <n v="406.86"/>
    <n v="7494.76"/>
    <d v="2026-01-06T21:33:21"/>
  </r>
  <r>
    <s v="CUST015"/>
    <s v="David Thomas"/>
    <x v="0"/>
    <x v="1"/>
    <n v="1168.8900000000001"/>
    <n v="4"/>
    <n v="0.1"/>
    <x v="59"/>
    <n v="526"/>
    <n v="4675.5600000000004"/>
    <d v="2026-01-06T21:33:21"/>
  </r>
  <r>
    <s v="CUST003"/>
    <s v="James Davis"/>
    <x v="2"/>
    <x v="2"/>
    <n v="1335.87"/>
    <n v="17"/>
    <n v="0"/>
    <x v="59"/>
    <n v="333.97"/>
    <n v="22709.789999999997"/>
    <d v="2026-01-06T21:33:21"/>
  </r>
  <r>
    <s v="CUST023"/>
    <s v="David Brown"/>
    <x v="1"/>
    <x v="3"/>
    <n v="873.7"/>
    <n v="9"/>
    <n v="0"/>
    <x v="60"/>
    <n v="305.8"/>
    <n v="7863.3"/>
    <d v="2026-01-06T21:33:21"/>
  </r>
  <r>
    <s v="CUST004"/>
    <s v="Sarah Davis"/>
    <x v="0"/>
    <x v="4"/>
    <n v="1443.98"/>
    <n v="19"/>
    <n v="0"/>
    <x v="61"/>
    <n v="649.79"/>
    <n v="27435.62"/>
    <d v="2026-01-06T21:33:21"/>
  </r>
  <r>
    <s v="CUST023"/>
    <s v="James Wilson"/>
    <x v="1"/>
    <x v="4"/>
    <n v="1154.33"/>
    <n v="11"/>
    <n v="0.15"/>
    <x v="62"/>
    <n v="441.53"/>
    <n v="12697.63"/>
    <d v="2026-01-06T21:33:21"/>
  </r>
  <r>
    <s v="CUST022"/>
    <s v="Linda Brown"/>
    <x v="2"/>
    <x v="0"/>
    <n v="1264.49"/>
    <n v="16"/>
    <n v="0.05"/>
    <x v="62"/>
    <n v="480.51"/>
    <n v="20231.84"/>
    <d v="2026-01-06T21:33:21"/>
  </r>
  <r>
    <s v="CUST007"/>
    <s v="Emma Taylor"/>
    <x v="0"/>
    <x v="3"/>
    <n v="1101.55"/>
    <n v="4"/>
    <n v="0.1"/>
    <x v="63"/>
    <n v="346.99"/>
    <n v="4406.2"/>
    <d v="2026-01-06T21:33:21"/>
  </r>
  <r>
    <s v="CUST013"/>
    <s v="Robert Anderson"/>
    <x v="2"/>
    <x v="3"/>
    <n v="727.73"/>
    <n v="1"/>
    <n v="0.1"/>
    <x v="64"/>
    <n v="229.23"/>
    <n v="727.73"/>
    <d v="2026-01-06T21:33:21"/>
  </r>
  <r>
    <s v="CUST027"/>
    <s v="Emma Davis"/>
    <x v="1"/>
    <x v="4"/>
    <n v="875.41"/>
    <n v="13"/>
    <n v="0.15"/>
    <x v="64"/>
    <n v="334.84"/>
    <n v="11380.33"/>
    <d v="2026-01-06T21:33:21"/>
  </r>
  <r>
    <s v="CUST003"/>
    <s v="James Wilson"/>
    <x v="0"/>
    <x v="2"/>
    <n v="1158.94"/>
    <n v="19"/>
    <n v="0.2"/>
    <x v="65"/>
    <n v="231.79"/>
    <n v="22019.86"/>
    <d v="2026-01-06T21:33:21"/>
  </r>
  <r>
    <s v="CUST018"/>
    <s v="Mary Jackson"/>
    <x v="2"/>
    <x v="0"/>
    <n v="966.3"/>
    <n v="2"/>
    <n v="0.15"/>
    <x v="66"/>
    <n v="328.54"/>
    <n v="1932.6"/>
    <d v="2026-01-06T21:33:21"/>
  </r>
  <r>
    <s v="CUST020"/>
    <s v="James Taylor"/>
    <x v="2"/>
    <x v="0"/>
    <n v="917.48"/>
    <n v="6"/>
    <n v="0"/>
    <x v="67"/>
    <n v="366.99"/>
    <n v="5504.88"/>
    <d v="2026-01-06T21:33:21"/>
  </r>
  <r>
    <s v="CUST029"/>
    <s v="Emma Wilson"/>
    <x v="0"/>
    <x v="3"/>
    <n v="1172.97"/>
    <n v="7"/>
    <n v="0.15"/>
    <x v="68"/>
    <n v="348.96"/>
    <n v="8210.7900000000009"/>
    <d v="2026-01-06T21:33:21"/>
  </r>
  <r>
    <s v="CUST021"/>
    <s v="James Wilson"/>
    <x v="3"/>
    <x v="1"/>
    <n v="1205.82"/>
    <n v="11"/>
    <n v="0.1"/>
    <x v="68"/>
    <n v="542.62"/>
    <n v="13264.019999999999"/>
    <d v="2026-01-06T21:33:21"/>
  </r>
  <r>
    <s v="CUST017"/>
    <s v="Sarah Davis"/>
    <x v="0"/>
    <x v="4"/>
    <n v="826.93"/>
    <n v="10"/>
    <n v="0.2"/>
    <x v="69"/>
    <n v="297.69"/>
    <n v="8269.2999999999993"/>
    <d v="2026-01-06T21:33:21"/>
  </r>
  <r>
    <s v="CUST003"/>
    <s v="James Wilson"/>
    <x v="4"/>
    <x v="1"/>
    <n v="902.19"/>
    <n v="12"/>
    <n v="0"/>
    <x v="69"/>
    <n v="451.1"/>
    <n v="10826.28"/>
    <d v="2026-01-06T21:33:21"/>
  </r>
  <r>
    <s v="CUST027"/>
    <s v="Emma Davis"/>
    <x v="3"/>
    <x v="0"/>
    <n v="585.97"/>
    <n v="17"/>
    <n v="0.1"/>
    <x v="70"/>
    <n v="210.95"/>
    <n v="9961.49"/>
    <d v="2026-01-06T21:33:21"/>
  </r>
  <r>
    <s v="CUST016"/>
    <s v="Michael Anderson"/>
    <x v="3"/>
    <x v="1"/>
    <n v="990.19"/>
    <n v="8"/>
    <n v="0.1"/>
    <x v="70"/>
    <n v="445.59"/>
    <n v="7921.52"/>
    <d v="2026-01-06T21:33:21"/>
  </r>
  <r>
    <s v="CUST008"/>
    <s v="David Davis"/>
    <x v="4"/>
    <x v="2"/>
    <n v="1014.09"/>
    <n v="13"/>
    <n v="0.2"/>
    <x v="71"/>
    <n v="202.82"/>
    <n v="13183.17"/>
    <d v="2026-01-06T21:33:21"/>
  </r>
  <r>
    <s v="CUST012"/>
    <s v="Lisa Davis"/>
    <x v="3"/>
    <x v="2"/>
    <n v="925.29"/>
    <n v="17"/>
    <n v="0"/>
    <x v="72"/>
    <n v="231.32"/>
    <n v="15729.93"/>
    <d v="2026-01-06T21:33:21"/>
  </r>
  <r>
    <s v="CUST025"/>
    <s v="Mary Jackson"/>
    <x v="1"/>
    <x v="3"/>
    <n v="1286.54"/>
    <n v="8"/>
    <n v="0"/>
    <x v="73"/>
    <n v="450.29"/>
    <n v="10292.32"/>
    <d v="2026-01-06T21:33:21"/>
  </r>
  <r>
    <s v="CUST014"/>
    <s v="Sarah Davis"/>
    <x v="2"/>
    <x v="0"/>
    <n v="961.62"/>
    <n v="8"/>
    <n v="0.2"/>
    <x v="74"/>
    <n v="307.72000000000003"/>
    <n v="7692.96"/>
    <d v="2026-01-06T21:33:21"/>
  </r>
  <r>
    <s v="CUST008"/>
    <s v="James Wilson"/>
    <x v="1"/>
    <x v="0"/>
    <n v="1081.1400000000001"/>
    <n v="19"/>
    <n v="0.15"/>
    <x v="74"/>
    <n v="367.59"/>
    <n v="20541.660000000003"/>
    <d v="2026-01-06T21:33:21"/>
  </r>
  <r>
    <s v="CUST015"/>
    <s v="James Wilson"/>
    <x v="0"/>
    <x v="1"/>
    <n v="1923.66"/>
    <n v="9"/>
    <n v="0.2"/>
    <x v="75"/>
    <n v="769.46"/>
    <n v="17312.940000000002"/>
    <d v="2026-01-06T21:33:21"/>
  </r>
  <r>
    <s v="CUST025"/>
    <s v="Emma Taylor"/>
    <x v="4"/>
    <x v="1"/>
    <n v="728.71"/>
    <n v="14"/>
    <n v="0.1"/>
    <x v="76"/>
    <n v="327.92"/>
    <n v="10201.94"/>
    <d v="2026-01-06T21:33:21"/>
  </r>
  <r>
    <s v="CUST019"/>
    <s v="Linda Jackson"/>
    <x v="4"/>
    <x v="1"/>
    <n v="1301.8900000000001"/>
    <n v="7"/>
    <n v="0.15"/>
    <x v="76"/>
    <n v="553.29999999999995"/>
    <n v="9113.2300000000014"/>
    <d v="2026-01-06T21:33:21"/>
  </r>
  <r>
    <s v="CUST024"/>
    <s v="Emma Taylor"/>
    <x v="1"/>
    <x v="0"/>
    <n v="980.18"/>
    <n v="16"/>
    <n v="0.1"/>
    <x v="77"/>
    <n v="352.86"/>
    <n v="15682.88"/>
    <d v="2026-01-06T21:33:21"/>
  </r>
  <r>
    <s v="CUST027"/>
    <s v="James Wilson"/>
    <x v="0"/>
    <x v="1"/>
    <n v="697.57"/>
    <n v="17"/>
    <n v="0.1"/>
    <x v="78"/>
    <n v="313.91000000000003"/>
    <n v="11858.69"/>
    <d v="2026-01-06T21:33:21"/>
  </r>
  <r>
    <s v="CUST006"/>
    <s v="David Anderson"/>
    <x v="0"/>
    <x v="3"/>
    <n v="1193.6099999999999"/>
    <n v="1"/>
    <n v="0.15"/>
    <x v="78"/>
    <n v="355.1"/>
    <n v="1193.6099999999999"/>
    <d v="2026-01-06T21:33:21"/>
  </r>
  <r>
    <s v="CUST009"/>
    <s v="Emma Davis"/>
    <x v="2"/>
    <x v="2"/>
    <n v="771.02"/>
    <n v="1"/>
    <n v="0"/>
    <x v="79"/>
    <n v="192.76"/>
    <n v="771.02"/>
    <d v="2026-01-06T21:33:21"/>
  </r>
  <r>
    <s v="CUST003"/>
    <s v="Linda Moore"/>
    <x v="3"/>
    <x v="1"/>
    <n v="661.09"/>
    <n v="1"/>
    <n v="0.2"/>
    <x v="80"/>
    <n v="264.44"/>
    <n v="661.09"/>
    <d v="2026-01-06T21:33:21"/>
  </r>
  <r>
    <s v="CUST012"/>
    <s v="David Brown"/>
    <x v="0"/>
    <x v="2"/>
    <n v="688.83"/>
    <n v="15"/>
    <n v="0"/>
    <x v="81"/>
    <n v="172.21"/>
    <n v="10332.450000000001"/>
    <d v="2026-01-06T21:33:21"/>
  </r>
  <r>
    <s v="CUST013"/>
    <s v="Linda Wilson"/>
    <x v="4"/>
    <x v="0"/>
    <n v="1249.0999999999999"/>
    <n v="4"/>
    <n v="0.05"/>
    <x v="82"/>
    <n v="474.66"/>
    <n v="4996.3999999999996"/>
    <d v="2026-01-06T21:33:21"/>
  </r>
  <r>
    <s v="CUST008"/>
    <s v="James Wilson"/>
    <x v="1"/>
    <x v="4"/>
    <n v="1014.22"/>
    <n v="14"/>
    <n v="0.05"/>
    <x v="83"/>
    <n v="433.58"/>
    <n v="14199.08"/>
    <d v="2026-01-06T21:33:21"/>
  </r>
  <r>
    <s v="CUST025"/>
    <s v="Lisa Davis"/>
    <x v="1"/>
    <x v="0"/>
    <n v="1010.58"/>
    <n v="2"/>
    <n v="0.15"/>
    <x v="84"/>
    <n v="343.6"/>
    <n v="2021.16"/>
    <d v="2026-01-06T21:33:21"/>
  </r>
  <r>
    <s v="CUST026"/>
    <s v="Mary Wilson"/>
    <x v="3"/>
    <x v="3"/>
    <n v="957.29"/>
    <n v="4"/>
    <n v="0.05"/>
    <x v="84"/>
    <n v="318.3"/>
    <n v="3829.16"/>
    <d v="2026-01-06T21:33:21"/>
  </r>
  <r>
    <s v="CUST001"/>
    <s v="Lisa Thomas"/>
    <x v="3"/>
    <x v="3"/>
    <n v="1077.92"/>
    <n v="3"/>
    <n v="0.05"/>
    <x v="85"/>
    <n v="358.41"/>
    <n v="3233.76"/>
    <d v="2026-01-06T21:33:21"/>
  </r>
  <r>
    <s v="CUST028"/>
    <s v="Linda Brown"/>
    <x v="2"/>
    <x v="1"/>
    <n v="1163.01"/>
    <n v="5"/>
    <n v="0"/>
    <x v="86"/>
    <n v="581.5"/>
    <n v="5815.05"/>
    <d v="2026-01-06T21:33:21"/>
  </r>
  <r>
    <s v="CUST025"/>
    <s v="Lisa Thomas"/>
    <x v="1"/>
    <x v="4"/>
    <n v="1014.56"/>
    <n v="10"/>
    <n v="0.1"/>
    <x v="87"/>
    <n v="410.9"/>
    <n v="10145.599999999999"/>
    <d v="2026-01-06T21:33:21"/>
  </r>
  <r>
    <s v="CUST019"/>
    <s v="James Taylor"/>
    <x v="2"/>
    <x v="2"/>
    <n v="718.04"/>
    <n v="14"/>
    <n v="0"/>
    <x v="88"/>
    <n v="179.51"/>
    <n v="10052.56"/>
    <d v="2026-01-06T21:33:21"/>
  </r>
  <r>
    <s v="CUST004"/>
    <s v="James Taylor"/>
    <x v="4"/>
    <x v="1"/>
    <n v="1277.8499999999999"/>
    <n v="18"/>
    <n v="0.2"/>
    <x v="88"/>
    <n v="511.14"/>
    <n v="23001.3"/>
    <d v="2026-01-06T21:33:21"/>
  </r>
  <r>
    <s v="CUST024"/>
    <s v="James Wilson"/>
    <x v="3"/>
    <x v="2"/>
    <n v="706.73"/>
    <n v="1"/>
    <n v="0.15"/>
    <x v="88"/>
    <n v="150.18"/>
    <n v="706.73"/>
    <d v="2026-01-06T21:33:21"/>
  </r>
  <r>
    <s v="CUST002"/>
    <s v="Linda Brown"/>
    <x v="1"/>
    <x v="2"/>
    <n v="1410.59"/>
    <n v="15"/>
    <n v="0"/>
    <x v="89"/>
    <n v="352.65"/>
    <n v="21158.85"/>
    <d v="2026-01-06T21:33:21"/>
  </r>
  <r>
    <s v="CUST009"/>
    <s v="Emma Wilson"/>
    <x v="2"/>
    <x v="3"/>
    <n v="1350.33"/>
    <n v="10"/>
    <n v="0"/>
    <x v="89"/>
    <n v="472.62"/>
    <n v="13503.3"/>
    <d v="2026-01-06T21:33:21"/>
  </r>
  <r>
    <s v="CUST029"/>
    <s v="Lisa Thomas"/>
    <x v="1"/>
    <x v="2"/>
    <n v="919.18"/>
    <n v="4"/>
    <n v="0.15"/>
    <x v="89"/>
    <n v="195.33"/>
    <n v="3676.72"/>
    <d v="2026-01-06T21:33:21"/>
  </r>
  <r>
    <s v="CUST027"/>
    <s v="James Wilson"/>
    <x v="0"/>
    <x v="2"/>
    <n v="258.51"/>
    <n v="19"/>
    <n v="0"/>
    <x v="90"/>
    <n v="64.63"/>
    <n v="4911.6899999999996"/>
    <d v="2026-01-06T21:33:21"/>
  </r>
  <r>
    <s v="CUST011"/>
    <s v="Emma Wilson"/>
    <x v="1"/>
    <x v="0"/>
    <n v="1213.48"/>
    <n v="5"/>
    <n v="0.05"/>
    <x v="90"/>
    <n v="461.12"/>
    <n v="6067.4"/>
    <d v="2026-01-06T21:33:21"/>
  </r>
  <r>
    <s v="CUST021"/>
    <s v="Emma Davis"/>
    <x v="4"/>
    <x v="0"/>
    <n v="1150.28"/>
    <n v="8"/>
    <n v="0.05"/>
    <x v="91"/>
    <n v="437.11"/>
    <n v="9202.24"/>
    <d v="2026-01-06T21:33:21"/>
  </r>
  <r>
    <s v="CUST014"/>
    <s v="David Anderson"/>
    <x v="2"/>
    <x v="3"/>
    <n v="853.86"/>
    <n v="8"/>
    <n v="0.1"/>
    <x v="91"/>
    <n v="268.97000000000003"/>
    <n v="6830.88"/>
    <d v="2026-01-06T21:33:21"/>
  </r>
  <r>
    <s v="CUST018"/>
    <s v="Lisa Thomas"/>
    <x v="2"/>
    <x v="2"/>
    <n v="1061.04"/>
    <n v="1"/>
    <n v="0"/>
    <x v="92"/>
    <n v="265.26"/>
    <n v="1061.04"/>
    <d v="2026-01-06T21:33:21"/>
  </r>
  <r>
    <s v="CUST001"/>
    <s v="Sarah Anderson"/>
    <x v="0"/>
    <x v="2"/>
    <n v="894.55"/>
    <n v="19"/>
    <n v="0.2"/>
    <x v="93"/>
    <n v="178.91"/>
    <n v="16996.45"/>
    <d v="2026-01-06T21:33:21"/>
  </r>
  <r>
    <s v="CUST007"/>
    <s v="Emma Davis"/>
    <x v="3"/>
    <x v="4"/>
    <n v="833.91"/>
    <n v="3"/>
    <n v="0.05"/>
    <x v="94"/>
    <n v="356.5"/>
    <n v="2501.73"/>
    <d v="2026-01-06T21:33:21"/>
  </r>
  <r>
    <s v="CUST015"/>
    <s v="David Anderson"/>
    <x v="0"/>
    <x v="3"/>
    <n v="820.19"/>
    <n v="4"/>
    <n v="0.2"/>
    <x v="95"/>
    <n v="229.65"/>
    <n v="3280.76"/>
    <d v="2026-01-06T21:33:21"/>
  </r>
  <r>
    <s v="CUST015"/>
    <s v="Emma Davis"/>
    <x v="4"/>
    <x v="2"/>
    <n v="511.74"/>
    <n v="8"/>
    <n v="0.05"/>
    <x v="96"/>
    <n v="121.54"/>
    <n v="4093.92"/>
    <d v="2026-01-06T21:33:21"/>
  </r>
  <r>
    <s v="CUST002"/>
    <s v="Emma Wilson"/>
    <x v="2"/>
    <x v="3"/>
    <n v="806.03"/>
    <n v="19"/>
    <n v="0.05"/>
    <x v="97"/>
    <n v="268"/>
    <n v="15314.57"/>
    <d v="2026-01-06T21:33:21"/>
  </r>
  <r>
    <s v="CUST001"/>
    <s v="Michael Anderson"/>
    <x v="4"/>
    <x v="3"/>
    <n v="1432.47"/>
    <n v="16"/>
    <n v="0.15"/>
    <x v="98"/>
    <n v="426.16"/>
    <n v="22919.52"/>
    <d v="2026-01-06T21:33:21"/>
  </r>
  <r>
    <s v="CUST027"/>
    <s v="Linda Wilson"/>
    <x v="4"/>
    <x v="2"/>
    <n v="1488.58"/>
    <n v="10"/>
    <n v="0.15"/>
    <x v="98"/>
    <n v="316.32"/>
    <n v="14885.8"/>
    <d v="2026-01-06T21:33:21"/>
  </r>
  <r>
    <s v="CUST026"/>
    <s v="Emma Taylor"/>
    <x v="1"/>
    <x v="0"/>
    <n v="1231.26"/>
    <n v="9"/>
    <n v="0"/>
    <x v="99"/>
    <n v="492.5"/>
    <n v="11081.34"/>
    <d v="2026-01-06T21:33:21"/>
  </r>
  <r>
    <s v="CUST026"/>
    <s v="Sarah Anderson"/>
    <x v="0"/>
    <x v="2"/>
    <n v="1161.67"/>
    <n v="19"/>
    <n v="0.2"/>
    <x v="100"/>
    <n v="232.33"/>
    <n v="22071.730000000003"/>
    <d v="2026-01-06T21:33:21"/>
  </r>
  <r>
    <s v="CUST022"/>
    <s v="Lisa Thomas"/>
    <x v="4"/>
    <x v="4"/>
    <n v="388.23"/>
    <n v="16"/>
    <n v="0.05"/>
    <x v="101"/>
    <n v="165.97"/>
    <n v="6211.68"/>
    <d v="2026-01-06T21:33:21"/>
  </r>
  <r>
    <s v="CUST004"/>
    <s v="Mary Davis"/>
    <x v="3"/>
    <x v="1"/>
    <n v="1589.42"/>
    <n v="6"/>
    <n v="0.15"/>
    <x v="102"/>
    <n v="675.5"/>
    <n v="9536.52"/>
    <d v="2026-01-06T21:33:21"/>
  </r>
  <r>
    <s v="CUST001"/>
    <s v="David Anderson"/>
    <x v="3"/>
    <x v="1"/>
    <n v="336.66"/>
    <n v="13"/>
    <n v="0.2"/>
    <x v="102"/>
    <n v="134.66"/>
    <n v="4376.58"/>
    <d v="2026-01-06T21:33:21"/>
  </r>
  <r>
    <s v="CUST022"/>
    <s v="James Wilson"/>
    <x v="0"/>
    <x v="0"/>
    <n v="1353.79"/>
    <n v="14"/>
    <n v="0.1"/>
    <x v="103"/>
    <n v="487.36"/>
    <n v="18953.059999999998"/>
    <d v="2026-01-06T21:33:21"/>
  </r>
  <r>
    <s v="CUST011"/>
    <s v="Linda Moore"/>
    <x v="4"/>
    <x v="1"/>
    <n v="662.61"/>
    <n v="11"/>
    <n v="0.05"/>
    <x v="104"/>
    <n v="314.74"/>
    <n v="7288.71"/>
    <d v="2026-01-06T21:33:21"/>
  </r>
  <r>
    <s v="CUST028"/>
    <s v="Lisa Davis"/>
    <x v="3"/>
    <x v="4"/>
    <n v="309.42"/>
    <n v="1"/>
    <n v="0.2"/>
    <x v="104"/>
    <n v="111.39"/>
    <n v="309.42"/>
    <d v="2026-01-06T21:33:21"/>
  </r>
  <r>
    <s v="CUST011"/>
    <s v="Linda Wilson"/>
    <x v="3"/>
    <x v="0"/>
    <n v="884.63"/>
    <n v="18"/>
    <n v="0.1"/>
    <x v="105"/>
    <n v="318.47000000000003"/>
    <n v="15923.34"/>
    <d v="2026-01-06T21:33:21"/>
  </r>
  <r>
    <s v="CUST028"/>
    <s v="James Wilson"/>
    <x v="4"/>
    <x v="4"/>
    <n v="745.05"/>
    <n v="10"/>
    <n v="0.1"/>
    <x v="106"/>
    <n v="301.75"/>
    <n v="7450.5"/>
    <d v="2026-01-06T21:33:21"/>
  </r>
  <r>
    <s v="CUST016"/>
    <s v="James Taylor"/>
    <x v="2"/>
    <x v="1"/>
    <n v="870.23"/>
    <n v="5"/>
    <n v="0.05"/>
    <x v="106"/>
    <n v="413.36"/>
    <n v="4351.1499999999996"/>
    <d v="2026-01-06T21:33:21"/>
  </r>
  <r>
    <s v="CUST010"/>
    <s v="Linda Wilson"/>
    <x v="0"/>
    <x v="3"/>
    <n v="862.19"/>
    <n v="18"/>
    <n v="0.05"/>
    <x v="107"/>
    <n v="286.68"/>
    <n v="15519.420000000002"/>
    <d v="2026-01-06T21:33:21"/>
  </r>
  <r>
    <s v="CUST013"/>
    <s v="Mary Wilson"/>
    <x v="3"/>
    <x v="1"/>
    <n v="1171.18"/>
    <n v="19"/>
    <n v="0.05"/>
    <x v="108"/>
    <n v="556.30999999999995"/>
    <n v="22252.420000000002"/>
    <d v="2026-01-06T21:33:21"/>
  </r>
  <r>
    <s v="CUST015"/>
    <s v="Robert Anderson"/>
    <x v="2"/>
    <x v="3"/>
    <n v="1054.56"/>
    <n v="11"/>
    <n v="0.1"/>
    <x v="109"/>
    <n v="332.19"/>
    <n v="11600.16"/>
    <d v="2026-01-06T21:33:21"/>
  </r>
  <r>
    <s v="CUST015"/>
    <s v="James Wilson"/>
    <x v="3"/>
    <x v="2"/>
    <n v="1681.21"/>
    <n v="5"/>
    <n v="0.2"/>
    <x v="110"/>
    <n v="336.24"/>
    <n v="8406.0499999999993"/>
    <d v="2026-01-06T21:33:21"/>
  </r>
  <r>
    <s v="CUST015"/>
    <s v="David Thomas"/>
    <x v="0"/>
    <x v="1"/>
    <n v="379.77"/>
    <n v="9"/>
    <n v="0.05"/>
    <x v="111"/>
    <n v="180.39"/>
    <n v="3417.93"/>
    <d v="2026-01-06T21:33:21"/>
  </r>
  <r>
    <s v="CUST008"/>
    <s v="Lisa Thomas"/>
    <x v="4"/>
    <x v="1"/>
    <n v="1076.33"/>
    <n v="2"/>
    <n v="0.1"/>
    <x v="112"/>
    <n v="484.35"/>
    <n v="2152.66"/>
    <d v="2026-01-06T21:33:21"/>
  </r>
  <r>
    <s v="CUST008"/>
    <s v="Mary Davis"/>
    <x v="4"/>
    <x v="4"/>
    <n v="1250.71"/>
    <n v="7"/>
    <n v="0"/>
    <x v="112"/>
    <n v="562.82000000000005"/>
    <n v="8754.9700000000012"/>
    <d v="2026-01-06T21:33:21"/>
  </r>
  <r>
    <s v="CUST023"/>
    <s v="James Taylor"/>
    <x v="2"/>
    <x v="1"/>
    <n v="1118.3399999999999"/>
    <n v="6"/>
    <n v="0.2"/>
    <x v="112"/>
    <n v="447.34"/>
    <n v="6710.0399999999991"/>
    <d v="2026-01-06T21:33:21"/>
  </r>
  <r>
    <s v="CUST024"/>
    <s v="Linda Taylor"/>
    <x v="3"/>
    <x v="1"/>
    <n v="1622.62"/>
    <n v="12"/>
    <n v="0.2"/>
    <x v="113"/>
    <n v="649.04999999999995"/>
    <n v="19471.439999999999"/>
    <d v="2026-01-06T21:33:21"/>
  </r>
  <r>
    <s v="CUST018"/>
    <s v="Lisa Davis"/>
    <x v="3"/>
    <x v="0"/>
    <n v="640.64"/>
    <n v="11"/>
    <n v="0.2"/>
    <x v="114"/>
    <n v="205"/>
    <n v="7047.04"/>
    <d v="2026-01-06T21:33:21"/>
  </r>
  <r>
    <s v="CUST030"/>
    <s v="Sarah Anderson"/>
    <x v="0"/>
    <x v="1"/>
    <n v="585.16"/>
    <n v="17"/>
    <n v="0.1"/>
    <x v="115"/>
    <n v="263.32"/>
    <n v="9947.7199999999993"/>
    <d v="2026-01-06T21:33:21"/>
  </r>
  <r>
    <s v="CUST030"/>
    <s v="Mary Davis"/>
    <x v="1"/>
    <x v="1"/>
    <n v="1109.98"/>
    <n v="5"/>
    <n v="0.2"/>
    <x v="116"/>
    <n v="443.99"/>
    <n v="5549.9"/>
    <d v="2026-01-06T21:33:21"/>
  </r>
  <r>
    <s v="CUST015"/>
    <s v="Lisa Thomas"/>
    <x v="1"/>
    <x v="0"/>
    <n v="1098.08"/>
    <n v="9"/>
    <n v="0.1"/>
    <x v="117"/>
    <n v="395.31"/>
    <n v="9882.7199999999993"/>
    <d v="2026-01-06T21:33:21"/>
  </r>
  <r>
    <s v="CUST002"/>
    <s v="Lisa Davis"/>
    <x v="0"/>
    <x v="4"/>
    <n v="827.25"/>
    <n v="7"/>
    <n v="0.1"/>
    <x v="118"/>
    <n v="335.04"/>
    <n v="5790.75"/>
    <d v="2026-01-06T21:33:21"/>
  </r>
  <r>
    <s v="CUST024"/>
    <s v="Linda Wilson"/>
    <x v="4"/>
    <x v="1"/>
    <n v="741.88"/>
    <n v="16"/>
    <n v="0.1"/>
    <x v="119"/>
    <n v="333.85"/>
    <n v="11870.08"/>
    <d v="2026-01-06T21:33:21"/>
  </r>
  <r>
    <s v="CUST004"/>
    <s v="James Davis"/>
    <x v="1"/>
    <x v="4"/>
    <n v="1311.26"/>
    <n v="6"/>
    <n v="0.1"/>
    <x v="120"/>
    <n v="531.05999999999995"/>
    <n v="7867.5599999999995"/>
    <d v="2026-01-06T21:33:21"/>
  </r>
  <r>
    <s v="CUST004"/>
    <s v="Mary Davis"/>
    <x v="2"/>
    <x v="4"/>
    <n v="573.32000000000005"/>
    <n v="19"/>
    <n v="0.1"/>
    <x v="121"/>
    <n v="232.19"/>
    <n v="10893.080000000002"/>
    <d v="2026-01-06T21:33:21"/>
  </r>
  <r>
    <s v="CUST028"/>
    <s v="James Wilson"/>
    <x v="0"/>
    <x v="2"/>
    <n v="1115.22"/>
    <n v="14"/>
    <n v="0.2"/>
    <x v="122"/>
    <n v="223.04"/>
    <n v="15613.08"/>
    <d v="2026-01-06T21:33:21"/>
  </r>
  <r>
    <s v="CUST012"/>
    <s v="Lisa Thomas"/>
    <x v="3"/>
    <x v="1"/>
    <n v="845.84"/>
    <n v="4"/>
    <n v="0"/>
    <x v="123"/>
    <n v="422.92"/>
    <n v="3383.36"/>
    <d v="2026-01-06T21:33:21"/>
  </r>
  <r>
    <s v="CUST026"/>
    <s v="David Brown"/>
    <x v="0"/>
    <x v="2"/>
    <n v="1029.8"/>
    <n v="3"/>
    <n v="0"/>
    <x v="124"/>
    <n v="257.45"/>
    <n v="3089.3999999999996"/>
    <d v="2026-01-06T21:33:21"/>
  </r>
  <r>
    <s v="CUST009"/>
    <s v="Mary Davis"/>
    <x v="3"/>
    <x v="0"/>
    <n v="1189.83"/>
    <n v="2"/>
    <n v="0.2"/>
    <x v="125"/>
    <n v="380.75"/>
    <n v="2379.66"/>
    <d v="2026-01-06T21:33:21"/>
  </r>
  <r>
    <s v="CUST003"/>
    <s v="Sarah Anderson"/>
    <x v="2"/>
    <x v="0"/>
    <n v="704.28"/>
    <n v="15"/>
    <n v="0.2"/>
    <x v="126"/>
    <n v="225.37"/>
    <n v="10564.199999999999"/>
    <d v="2026-01-06T21:33:21"/>
  </r>
  <r>
    <s v="CUST002"/>
    <s v="Mary Jackson"/>
    <x v="4"/>
    <x v="4"/>
    <n v="1618.22"/>
    <n v="12"/>
    <n v="0.2"/>
    <x v="126"/>
    <n v="582.55999999999995"/>
    <n v="19418.64"/>
    <d v="2026-01-06T21:33:21"/>
  </r>
  <r>
    <s v="CUST013"/>
    <s v="Linda Taylor"/>
    <x v="4"/>
    <x v="0"/>
    <n v="1014.43"/>
    <n v="2"/>
    <n v="0.15"/>
    <x v="127"/>
    <n v="344.91"/>
    <n v="2028.86"/>
    <d v="2026-01-06T21:33:21"/>
  </r>
  <r>
    <s v="CUST018"/>
    <s v="Mary Davis"/>
    <x v="4"/>
    <x v="1"/>
    <n v="826.97"/>
    <n v="18"/>
    <n v="0.2"/>
    <x v="128"/>
    <n v="330.79"/>
    <n v="14885.460000000001"/>
    <d v="2026-01-06T21:33:21"/>
  </r>
  <r>
    <s v="CUST017"/>
    <s v="Mary Davis"/>
    <x v="4"/>
    <x v="1"/>
    <n v="1022.23"/>
    <n v="8"/>
    <n v="0.1"/>
    <x v="129"/>
    <n v="460"/>
    <n v="8177.84"/>
    <d v="2026-01-06T21:33:21"/>
  </r>
  <r>
    <s v="CUST004"/>
    <s v="Linda Wilson"/>
    <x v="1"/>
    <x v="0"/>
    <n v="1099.69"/>
    <n v="6"/>
    <n v="0"/>
    <x v="130"/>
    <n v="439.88"/>
    <n v="6598.14"/>
    <d v="2026-01-06T21:33:21"/>
  </r>
  <r>
    <s v="CUST028"/>
    <s v="Sarah Davis"/>
    <x v="3"/>
    <x v="0"/>
    <n v="710.52"/>
    <n v="8"/>
    <n v="0.1"/>
    <x v="131"/>
    <n v="255.79"/>
    <n v="5684.16"/>
    <d v="2026-01-06T21:33:21"/>
  </r>
  <r>
    <s v="CUST028"/>
    <s v="Mary Wilson"/>
    <x v="3"/>
    <x v="0"/>
    <n v="499.18"/>
    <n v="15"/>
    <n v="0.2"/>
    <x v="132"/>
    <n v="159.74"/>
    <n v="7487.7"/>
    <d v="2026-01-06T21:33:21"/>
  </r>
  <r>
    <s v="CUST014"/>
    <s v="Emma Davis"/>
    <x v="2"/>
    <x v="0"/>
    <n v="1064.19"/>
    <n v="18"/>
    <n v="0.05"/>
    <x v="133"/>
    <n v="404.39"/>
    <n v="19155.420000000002"/>
    <d v="2026-01-06T21:33:21"/>
  </r>
  <r>
    <s v="CUST003"/>
    <s v="Emma Davis"/>
    <x v="1"/>
    <x v="4"/>
    <n v="438.76"/>
    <n v="18"/>
    <n v="0.05"/>
    <x v="134"/>
    <n v="187.57"/>
    <n v="7897.68"/>
    <d v="2026-01-06T21:33:21"/>
  </r>
  <r>
    <s v="CUST029"/>
    <s v="David Brown"/>
    <x v="0"/>
    <x v="1"/>
    <n v="864.98"/>
    <n v="2"/>
    <n v="0.05"/>
    <x v="135"/>
    <n v="410.87"/>
    <n v="1729.96"/>
    <d v="2026-01-06T21:33:21"/>
  </r>
  <r>
    <s v="CUST021"/>
    <s v="David Brown"/>
    <x v="0"/>
    <x v="3"/>
    <n v="984.93"/>
    <n v="14"/>
    <n v="0.2"/>
    <x v="136"/>
    <n v="275.77999999999997"/>
    <n v="13789.019999999999"/>
    <d v="2026-01-06T21:33:21"/>
  </r>
  <r>
    <s v="CUST007"/>
    <s v="David Brown"/>
    <x v="0"/>
    <x v="1"/>
    <n v="1493.49"/>
    <n v="18"/>
    <n v="0"/>
    <x v="137"/>
    <n v="746.74"/>
    <n v="26882.82"/>
    <d v="2026-01-06T21:33:21"/>
  </r>
  <r>
    <s v="CUST009"/>
    <s v="Linda Taylor"/>
    <x v="2"/>
    <x v="1"/>
    <n v="689.43"/>
    <n v="9"/>
    <n v="0.1"/>
    <x v="138"/>
    <n v="310.24"/>
    <n v="6204.87"/>
    <d v="2026-01-06T21:33:21"/>
  </r>
  <r>
    <s v="CUST023"/>
    <s v="Mary Wilson"/>
    <x v="2"/>
    <x v="1"/>
    <n v="682.24"/>
    <n v="1"/>
    <n v="0"/>
    <x v="139"/>
    <n v="341.12"/>
    <n v="682.24"/>
    <d v="2026-01-06T21:33:21"/>
  </r>
  <r>
    <s v="CUST029"/>
    <s v="Michael Anderson"/>
    <x v="3"/>
    <x v="2"/>
    <n v="458.54"/>
    <n v="15"/>
    <n v="0.2"/>
    <x v="140"/>
    <n v="91.71"/>
    <n v="6878.1"/>
    <d v="2026-01-06T21:33:21"/>
  </r>
  <r>
    <s v="CUST009"/>
    <s v="Michael Anderson"/>
    <x v="2"/>
    <x v="3"/>
    <n v="1184.25"/>
    <n v="11"/>
    <n v="0.2"/>
    <x v="141"/>
    <n v="331.59"/>
    <n v="13026.75"/>
    <d v="2026-01-06T21:33:21"/>
  </r>
  <r>
    <s v="CUST007"/>
    <s v="James Davis"/>
    <x v="2"/>
    <x v="1"/>
    <n v="762.14"/>
    <n v="9"/>
    <n v="0"/>
    <x v="142"/>
    <n v="381.07"/>
    <n v="6859.26"/>
    <d v="2026-01-06T21:33:21"/>
  </r>
  <r>
    <s v="CUST030"/>
    <s v="Linda Taylor"/>
    <x v="3"/>
    <x v="0"/>
    <n v="750.71"/>
    <n v="10"/>
    <n v="0.15"/>
    <x v="142"/>
    <n v="255.24"/>
    <n v="7507.1"/>
    <d v="2026-01-06T21:33:21"/>
  </r>
  <r>
    <s v="CUST018"/>
    <s v="David Anderson"/>
    <x v="4"/>
    <x v="1"/>
    <n v="1456.94"/>
    <n v="14"/>
    <n v="0.05"/>
    <x v="143"/>
    <n v="692.05"/>
    <n v="20397.16"/>
    <d v="2026-01-06T21:33:21"/>
  </r>
  <r>
    <s v="CUST008"/>
    <s v="Emma Wilson"/>
    <x v="1"/>
    <x v="3"/>
    <n v="1093.3800000000001"/>
    <n v="17"/>
    <n v="0.1"/>
    <x v="143"/>
    <n v="344.41"/>
    <n v="18587.460000000003"/>
    <d v="2026-01-06T21:33:21"/>
  </r>
  <r>
    <s v="CUST014"/>
    <s v="Sarah Anderson"/>
    <x v="0"/>
    <x v="1"/>
    <n v="934.27"/>
    <n v="8"/>
    <n v="0.15"/>
    <x v="144"/>
    <n v="397.06"/>
    <n v="7474.16"/>
    <d v="2026-01-06T21:33:21"/>
  </r>
  <r>
    <s v="CUST024"/>
    <s v="David Thomas"/>
    <x v="4"/>
    <x v="1"/>
    <n v="1465.35"/>
    <n v="8"/>
    <n v="0.2"/>
    <x v="144"/>
    <n v="586.14"/>
    <n v="11722.8"/>
    <d v="2026-01-06T21:33:21"/>
  </r>
  <r>
    <s v="CUST028"/>
    <s v="Robert Anderson"/>
    <x v="2"/>
    <x v="4"/>
    <n v="740.8"/>
    <n v="3"/>
    <n v="0"/>
    <x v="145"/>
    <n v="333.36"/>
    <n v="2222.3999999999996"/>
    <d v="2026-01-06T21:33:21"/>
  </r>
  <r>
    <s v="CUST015"/>
    <s v="Sarah Anderson"/>
    <x v="0"/>
    <x v="4"/>
    <n v="545.44000000000005"/>
    <n v="17"/>
    <n v="0"/>
    <x v="146"/>
    <n v="245.45"/>
    <n v="9272.4800000000014"/>
    <d v="2026-01-06T21:33:21"/>
  </r>
  <r>
    <s v="CUST010"/>
    <s v="David Thomas"/>
    <x v="1"/>
    <x v="0"/>
    <n v="997.61"/>
    <n v="8"/>
    <n v="0.05"/>
    <x v="146"/>
    <n v="379.09"/>
    <n v="7980.88"/>
    <d v="2026-01-06T21:33:21"/>
  </r>
  <r>
    <s v="CUST016"/>
    <s v="David Thomas"/>
    <x v="2"/>
    <x v="1"/>
    <n v="928.32"/>
    <n v="2"/>
    <n v="0.05"/>
    <x v="147"/>
    <n v="440.95"/>
    <n v="1856.64"/>
    <d v="2026-01-06T21:33: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5A6A98-A090-45B0-BAAF-8D2BFC67557A}"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4">
    <pivotField showAll="0"/>
    <pivotField showAll="0"/>
    <pivotField axis="axisRow" showAll="0">
      <items count="6">
        <item x="4"/>
        <item x="1"/>
        <item x="3"/>
        <item x="2"/>
        <item x="0"/>
        <item t="default"/>
      </items>
    </pivotField>
    <pivotField showAll="0"/>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numFmtId="2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Sal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6F5CDB-E1EA-4A38-94CD-CEFB7C5BD283}"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19" firstHeaderRow="1" firstDataRow="1" firstDataCol="1"/>
  <pivotFields count="14">
    <pivotField showAll="0"/>
    <pivotField showAll="0"/>
    <pivotField showAll="0"/>
    <pivotField showAll="0"/>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numFmtId="22" showAll="0"/>
    <pivotField axis="axisRow" showAll="0">
      <items count="15">
        <item sd="0" x="0"/>
        <item sd="0" x="1"/>
        <item sd="0" x="2"/>
        <item sd="0" x="3"/>
        <item x="4"/>
        <item x="5"/>
        <item sd="0" x="6"/>
        <item sd="0" x="7"/>
        <item sd="0" x="8"/>
        <item sd="0" x="9"/>
        <item sd="0" x="10"/>
        <item sd="0" x="11"/>
        <item sd="0" x="12"/>
        <item sd="0" x="13"/>
        <item t="default"/>
      </items>
    </pivotField>
    <pivotField showAll="0">
      <items count="7">
        <item sd="0" x="0"/>
        <item sd="0" x="1"/>
        <item x="2"/>
        <item sd="0" x="3"/>
        <item sd="0" x="4"/>
        <item sd="0" x="5"/>
        <item t="default"/>
      </items>
    </pivotField>
    <pivotField axis="axisRow" showAll="0">
      <items count="5">
        <item x="0"/>
        <item x="1"/>
        <item x="2"/>
        <item x="3"/>
        <item t="default"/>
      </items>
    </pivotField>
  </pivotFields>
  <rowFields count="2">
    <field x="13"/>
    <field x="11"/>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Sales" fld="4" baseField="0" baseItem="0"/>
  </dataFields>
  <chartFormats count="2">
    <chartFormat chart="9"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4484F8-9732-4599-916C-3F001A9FEFC8}"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4">
    <pivotField showAll="0"/>
    <pivotField showAll="0"/>
    <pivotField showAll="0"/>
    <pivotField axis="axisRow"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numFmtId="22" showAll="0"/>
    <pivotField showAll="0" defaultSubtotal="0"/>
    <pivotField showAll="0" defaultSubtotal="0"/>
    <pivotField showAll="0" defaultSubtotal="0">
      <items count="4">
        <item x="0"/>
        <item x="1"/>
        <item x="2"/>
        <item x="3"/>
      </items>
    </pivotField>
  </pivotFields>
  <rowFields count="1">
    <field x="3"/>
  </rowFields>
  <rowItems count="6">
    <i>
      <x/>
    </i>
    <i>
      <x v="1"/>
    </i>
    <i>
      <x v="2"/>
    </i>
    <i>
      <x v="3"/>
    </i>
    <i>
      <x v="4"/>
    </i>
    <i t="grand">
      <x/>
    </i>
  </rowItems>
  <colItems count="1">
    <i/>
  </colItems>
  <dataFields count="1">
    <dataField name="Sum of Sales" fld="4"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workbookViewId="0"/>
  </sheetViews>
  <sheetFormatPr defaultColWidth="14.44140625" defaultRowHeight="15" customHeight="1" x14ac:dyDescent="0.3"/>
  <cols>
    <col min="1" max="1" width="74.88671875" customWidth="1"/>
    <col min="2" max="26" width="8.6640625" customWidth="1"/>
  </cols>
  <sheetData>
    <row r="1" spans="1:26" ht="14.4" x14ac:dyDescent="0.3">
      <c r="A1" s="1" t="s">
        <v>0</v>
      </c>
      <c r="B1" s="2"/>
      <c r="C1" s="2"/>
      <c r="D1" s="2"/>
      <c r="E1" s="2"/>
      <c r="F1" s="2"/>
      <c r="G1" s="2"/>
      <c r="H1" s="2"/>
      <c r="I1" s="2"/>
      <c r="J1" s="2"/>
      <c r="K1" s="2"/>
      <c r="L1" s="2"/>
      <c r="M1" s="2"/>
      <c r="N1" s="2"/>
      <c r="O1" s="2"/>
      <c r="P1" s="2"/>
      <c r="Q1" s="2"/>
      <c r="R1" s="2"/>
      <c r="S1" s="2"/>
      <c r="T1" s="2"/>
      <c r="U1" s="2"/>
      <c r="V1" s="2"/>
      <c r="W1" s="2"/>
      <c r="X1" s="2"/>
      <c r="Y1" s="2"/>
      <c r="Z1" s="2"/>
    </row>
    <row r="2" spans="1:26" ht="14.4" x14ac:dyDescent="0.3">
      <c r="A2" s="3" t="s">
        <v>1</v>
      </c>
      <c r="B2" s="2"/>
      <c r="C2" s="2"/>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row r="926" spans="1:26" ht="15.75" customHeight="1" x14ac:dyDescent="0.3"/>
    <row r="927" spans="1:26" ht="15.75" customHeight="1" x14ac:dyDescent="0.3"/>
    <row r="928" spans="1:26"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101E6-E8AF-4CE6-8C08-19C01CD01B19}">
  <dimension ref="A1:B17"/>
  <sheetViews>
    <sheetView workbookViewId="0">
      <selection activeCell="D18" sqref="D18"/>
    </sheetView>
  </sheetViews>
  <sheetFormatPr defaultRowHeight="14.4" x14ac:dyDescent="0.3"/>
  <cols>
    <col min="1" max="1" width="16.5546875" bestFit="1" customWidth="1"/>
    <col min="2" max="2" width="12.6640625" bestFit="1" customWidth="1"/>
  </cols>
  <sheetData>
    <row r="1" spans="1:2" x14ac:dyDescent="0.3">
      <c r="A1" s="11" t="s">
        <v>6</v>
      </c>
      <c r="B1" s="11"/>
    </row>
    <row r="2" spans="1:2" x14ac:dyDescent="0.3">
      <c r="A2" s="14"/>
      <c r="B2" s="12"/>
    </row>
    <row r="3" spans="1:2" x14ac:dyDescent="0.3">
      <c r="A3" s="14" t="s">
        <v>78</v>
      </c>
      <c r="B3" s="12">
        <v>976.08879999999965</v>
      </c>
    </row>
    <row r="4" spans="1:2" x14ac:dyDescent="0.3">
      <c r="A4" s="14" t="s">
        <v>79</v>
      </c>
      <c r="B4" s="12">
        <v>21.161850448978406</v>
      </c>
    </row>
    <row r="5" spans="1:2" x14ac:dyDescent="0.3">
      <c r="A5" s="14" t="s">
        <v>80</v>
      </c>
      <c r="B5" s="12">
        <v>976.72</v>
      </c>
    </row>
    <row r="6" spans="1:2" x14ac:dyDescent="0.3">
      <c r="A6" s="14" t="s">
        <v>81</v>
      </c>
      <c r="B6" s="12" t="e">
        <v>#N/A</v>
      </c>
    </row>
    <row r="7" spans="1:2" x14ac:dyDescent="0.3">
      <c r="A7" s="14" t="s">
        <v>82</v>
      </c>
      <c r="B7" s="12">
        <v>299.27375909856431</v>
      </c>
    </row>
    <row r="8" spans="1:2" x14ac:dyDescent="0.3">
      <c r="A8" s="14" t="s">
        <v>83</v>
      </c>
      <c r="B8" s="12">
        <v>89564.782884985514</v>
      </c>
    </row>
    <row r="9" spans="1:2" x14ac:dyDescent="0.3">
      <c r="A9" s="14" t="s">
        <v>84</v>
      </c>
      <c r="B9" s="12">
        <v>-8.8595231919740502E-2</v>
      </c>
    </row>
    <row r="10" spans="1:2" x14ac:dyDescent="0.3">
      <c r="A10" s="14" t="s">
        <v>85</v>
      </c>
      <c r="B10" s="12">
        <v>0.14685796564193557</v>
      </c>
    </row>
    <row r="11" spans="1:2" x14ac:dyDescent="0.3">
      <c r="A11" s="14" t="s">
        <v>86</v>
      </c>
      <c r="B11" s="12">
        <v>1665.15</v>
      </c>
    </row>
    <row r="12" spans="1:2" x14ac:dyDescent="0.3">
      <c r="A12" s="14" t="s">
        <v>87</v>
      </c>
      <c r="B12" s="12">
        <v>258.51</v>
      </c>
    </row>
    <row r="13" spans="1:2" x14ac:dyDescent="0.3">
      <c r="A13" s="14" t="s">
        <v>88</v>
      </c>
      <c r="B13" s="12">
        <v>1923.66</v>
      </c>
    </row>
    <row r="14" spans="1:2" x14ac:dyDescent="0.3">
      <c r="A14" s="14" t="s">
        <v>89</v>
      </c>
      <c r="B14" s="12">
        <v>195217.75999999992</v>
      </c>
    </row>
    <row r="15" spans="1:2" x14ac:dyDescent="0.3">
      <c r="A15" s="14" t="s">
        <v>90</v>
      </c>
      <c r="B15" s="12">
        <v>200</v>
      </c>
    </row>
    <row r="16" spans="1:2" x14ac:dyDescent="0.3">
      <c r="A16" s="14" t="s">
        <v>91</v>
      </c>
      <c r="B16" s="12">
        <v>1681.21</v>
      </c>
    </row>
    <row r="17" spans="1:2" ht="15" thickBot="1" x14ac:dyDescent="0.35">
      <c r="A17" s="15" t="s">
        <v>92</v>
      </c>
      <c r="B17" s="13">
        <v>309.42</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23281-6811-40B7-A1A7-5341834E6A61}">
  <dimension ref="A1:I224"/>
  <sheetViews>
    <sheetView workbookViewId="0">
      <selection activeCell="G4" sqref="G4"/>
    </sheetView>
  </sheetViews>
  <sheetFormatPr defaultRowHeight="14.4" x14ac:dyDescent="0.3"/>
  <cols>
    <col min="1" max="1" width="17.44140625" bestFit="1" customWidth="1"/>
    <col min="2" max="2" width="13.88671875" bestFit="1" customWidth="1"/>
    <col min="3" max="3" width="13.44140625" bestFit="1" customWidth="1"/>
    <col min="6" max="6" width="12.44140625" bestFit="1" customWidth="1"/>
    <col min="9" max="9" width="12.109375" bestFit="1" customWidth="1"/>
  </cols>
  <sheetData>
    <row r="1" spans="1:9" x14ac:dyDescent="0.3">
      <c r="A1" t="s">
        <v>93</v>
      </c>
    </row>
    <row r="2" spans="1:9" ht="15" thickBot="1" x14ac:dyDescent="0.35"/>
    <row r="3" spans="1:9" x14ac:dyDescent="0.3">
      <c r="A3" s="10" t="s">
        <v>94</v>
      </c>
      <c r="B3" s="10"/>
    </row>
    <row r="4" spans="1:9" x14ac:dyDescent="0.3">
      <c r="A4" s="7" t="s">
        <v>95</v>
      </c>
      <c r="B4" s="7">
        <v>0.77340306414342619</v>
      </c>
    </row>
    <row r="5" spans="1:9" x14ac:dyDescent="0.3">
      <c r="A5" s="7" t="s">
        <v>96</v>
      </c>
      <c r="B5" s="7">
        <v>0.59815229962644068</v>
      </c>
    </row>
    <row r="6" spans="1:9" x14ac:dyDescent="0.3">
      <c r="A6" s="7" t="s">
        <v>97</v>
      </c>
      <c r="B6" s="7">
        <v>0.59612276578617018</v>
      </c>
    </row>
    <row r="7" spans="1:9" x14ac:dyDescent="0.3">
      <c r="A7" s="7" t="s">
        <v>79</v>
      </c>
      <c r="B7" s="7">
        <v>190.19247302285618</v>
      </c>
    </row>
    <row r="8" spans="1:9" ht="15" thickBot="1" x14ac:dyDescent="0.35">
      <c r="A8" s="8" t="s">
        <v>98</v>
      </c>
      <c r="B8" s="8">
        <v>200</v>
      </c>
    </row>
    <row r="10" spans="1:9" ht="15" thickBot="1" x14ac:dyDescent="0.35">
      <c r="A10" t="s">
        <v>99</v>
      </c>
    </row>
    <row r="11" spans="1:9" x14ac:dyDescent="0.3">
      <c r="A11" s="9"/>
      <c r="B11" s="9" t="s">
        <v>104</v>
      </c>
      <c r="C11" s="9" t="s">
        <v>105</v>
      </c>
      <c r="D11" s="9" t="s">
        <v>106</v>
      </c>
      <c r="E11" s="9" t="s">
        <v>107</v>
      </c>
      <c r="F11" s="9" t="s">
        <v>108</v>
      </c>
    </row>
    <row r="12" spans="1:9" x14ac:dyDescent="0.3">
      <c r="A12" s="7" t="s">
        <v>100</v>
      </c>
      <c r="B12" s="7">
        <v>1</v>
      </c>
      <c r="C12" s="7">
        <v>10661102.788791124</v>
      </c>
      <c r="D12" s="7">
        <v>10661102.788791124</v>
      </c>
      <c r="E12" s="7">
        <v>294.72398427548137</v>
      </c>
      <c r="F12" s="7">
        <v>4.6269367558908521E-41</v>
      </c>
    </row>
    <row r="13" spans="1:9" x14ac:dyDescent="0.3">
      <c r="A13" s="7" t="s">
        <v>101</v>
      </c>
      <c r="B13" s="7">
        <v>198</v>
      </c>
      <c r="C13" s="7">
        <v>7162289.005320874</v>
      </c>
      <c r="D13" s="7">
        <v>36173.176794549872</v>
      </c>
      <c r="E13" s="7"/>
      <c r="F13" s="7"/>
    </row>
    <row r="14" spans="1:9" ht="15" thickBot="1" x14ac:dyDescent="0.35">
      <c r="A14" s="8" t="s">
        <v>102</v>
      </c>
      <c r="B14" s="8">
        <v>199</v>
      </c>
      <c r="C14" s="8">
        <v>17823391.794111997</v>
      </c>
      <c r="D14" s="8"/>
      <c r="E14" s="8"/>
      <c r="F14" s="8"/>
    </row>
    <row r="15" spans="1:9" ht="15" thickBot="1" x14ac:dyDescent="0.35"/>
    <row r="16" spans="1:9" x14ac:dyDescent="0.3">
      <c r="A16" s="9"/>
      <c r="B16" s="9" t="s">
        <v>109</v>
      </c>
      <c r="C16" s="9" t="s">
        <v>79</v>
      </c>
      <c r="D16" s="9" t="s">
        <v>110</v>
      </c>
      <c r="E16" s="9" t="s">
        <v>111</v>
      </c>
      <c r="F16" s="9" t="s">
        <v>112</v>
      </c>
      <c r="G16" s="9" t="s">
        <v>113</v>
      </c>
      <c r="H16" s="9" t="s">
        <v>114</v>
      </c>
      <c r="I16" s="9" t="s">
        <v>115</v>
      </c>
    </row>
    <row r="17" spans="1:9" x14ac:dyDescent="0.3">
      <c r="A17" s="7" t="s">
        <v>103</v>
      </c>
      <c r="B17" s="7">
        <v>393.99766516951786</v>
      </c>
      <c r="C17" s="7">
        <v>36.476267980965957</v>
      </c>
      <c r="D17" s="7">
        <v>10.80147961888847</v>
      </c>
      <c r="E17" s="7">
        <v>1.1137843314422145E-21</v>
      </c>
      <c r="F17" s="7">
        <v>322.06582718481212</v>
      </c>
      <c r="G17" s="7">
        <v>465.9295031542236</v>
      </c>
      <c r="H17" s="7">
        <v>322.06582718481212</v>
      </c>
      <c r="I17" s="7">
        <v>465.9295031542236</v>
      </c>
    </row>
    <row r="18" spans="1:9" ht="15" thickBot="1" x14ac:dyDescent="0.35">
      <c r="A18" s="8" t="s">
        <v>10</v>
      </c>
      <c r="B18" s="8">
        <v>1.7048370834525679</v>
      </c>
      <c r="C18" s="8">
        <v>9.9305921034454653E-2</v>
      </c>
      <c r="D18" s="8">
        <v>17.167527028535051</v>
      </c>
      <c r="E18" s="8">
        <v>4.6269367558907205E-41</v>
      </c>
      <c r="F18" s="8">
        <v>1.5090040715199911</v>
      </c>
      <c r="G18" s="8">
        <v>1.9006700953851448</v>
      </c>
      <c r="H18" s="8">
        <v>1.5090040715199911</v>
      </c>
      <c r="I18" s="8">
        <v>1.9006700953851448</v>
      </c>
    </row>
    <row r="22" spans="1:9" x14ac:dyDescent="0.3">
      <c r="A22" t="s">
        <v>116</v>
      </c>
    </row>
    <row r="23" spans="1:9" ht="15" thickBot="1" x14ac:dyDescent="0.35"/>
    <row r="24" spans="1:9" x14ac:dyDescent="0.3">
      <c r="A24" s="9" t="s">
        <v>117</v>
      </c>
      <c r="B24" s="9" t="s">
        <v>118</v>
      </c>
      <c r="C24" s="9" t="s">
        <v>119</v>
      </c>
    </row>
    <row r="25" spans="1:9" x14ac:dyDescent="0.3">
      <c r="A25" s="7">
        <v>1</v>
      </c>
      <c r="B25" s="7">
        <v>959.23640018821675</v>
      </c>
      <c r="C25" s="7">
        <v>76.85359981178317</v>
      </c>
    </row>
    <row r="26" spans="1:9" x14ac:dyDescent="0.3">
      <c r="A26" s="7">
        <v>2</v>
      </c>
      <c r="B26" s="7">
        <v>1144.9954488012086</v>
      </c>
      <c r="C26" s="7">
        <v>-43.715448801208595</v>
      </c>
    </row>
    <row r="27" spans="1:9" x14ac:dyDescent="0.3">
      <c r="A27" s="7">
        <v>3</v>
      </c>
      <c r="B27" s="7">
        <v>880.45587856187353</v>
      </c>
      <c r="C27" s="7">
        <v>-167.1158785618735</v>
      </c>
    </row>
    <row r="28" spans="1:9" x14ac:dyDescent="0.3">
      <c r="A28" s="7">
        <v>4</v>
      </c>
      <c r="B28" s="7">
        <v>669.669821563798</v>
      </c>
      <c r="C28" s="7">
        <v>91.260178436201954</v>
      </c>
    </row>
    <row r="29" spans="1:9" x14ac:dyDescent="0.3">
      <c r="A29" s="7">
        <v>5</v>
      </c>
      <c r="B29" s="7">
        <v>856.07670826850187</v>
      </c>
      <c r="C29" s="7">
        <v>-9.076708268501875</v>
      </c>
    </row>
    <row r="30" spans="1:9" x14ac:dyDescent="0.3">
      <c r="A30" s="7">
        <v>6</v>
      </c>
      <c r="B30" s="7">
        <v>912.57500921411997</v>
      </c>
      <c r="C30" s="7">
        <v>53.064990785880013</v>
      </c>
    </row>
    <row r="31" spans="1:9" x14ac:dyDescent="0.3">
      <c r="A31" s="7">
        <v>7</v>
      </c>
      <c r="B31" s="7">
        <v>927.45823695266097</v>
      </c>
      <c r="C31" s="7">
        <v>390.071763047339</v>
      </c>
    </row>
    <row r="32" spans="1:9" x14ac:dyDescent="0.3">
      <c r="A32" s="7">
        <v>8</v>
      </c>
      <c r="B32" s="7">
        <v>906.89790172622293</v>
      </c>
      <c r="C32" s="7">
        <v>167.5720982737771</v>
      </c>
    </row>
    <row r="33" spans="1:3" x14ac:dyDescent="0.3">
      <c r="A33" s="7">
        <v>9</v>
      </c>
      <c r="B33" s="7">
        <v>718.92256490474279</v>
      </c>
      <c r="C33" s="7">
        <v>-217.38256490474276</v>
      </c>
    </row>
    <row r="34" spans="1:3" x14ac:dyDescent="0.3">
      <c r="A34" s="7">
        <v>10</v>
      </c>
      <c r="B34" s="7">
        <v>991.06570853627625</v>
      </c>
      <c r="C34" s="7">
        <v>-253.7557085362763</v>
      </c>
    </row>
    <row r="35" spans="1:3" x14ac:dyDescent="0.3">
      <c r="A35" s="7">
        <v>11</v>
      </c>
      <c r="B35" s="7">
        <v>1540.2960233413555</v>
      </c>
      <c r="C35" s="7">
        <v>32.523976658644415</v>
      </c>
    </row>
    <row r="36" spans="1:3" x14ac:dyDescent="0.3">
      <c r="A36" s="7">
        <v>12</v>
      </c>
      <c r="B36" s="7">
        <v>1172.5285676989674</v>
      </c>
      <c r="C36" s="7">
        <v>170.60143230103267</v>
      </c>
    </row>
    <row r="37" spans="1:3" x14ac:dyDescent="0.3">
      <c r="A37" s="7">
        <v>13</v>
      </c>
      <c r="B37" s="7">
        <v>1165.9478965568405</v>
      </c>
      <c r="C37" s="7">
        <v>25.632103443159394</v>
      </c>
    </row>
    <row r="38" spans="1:3" x14ac:dyDescent="0.3">
      <c r="A38" s="7">
        <v>14</v>
      </c>
      <c r="B38" s="7">
        <v>860.11717215628448</v>
      </c>
      <c r="C38" s="7">
        <v>-37.83717215628451</v>
      </c>
    </row>
    <row r="39" spans="1:3" x14ac:dyDescent="0.3">
      <c r="A39" s="7">
        <v>15</v>
      </c>
      <c r="B39" s="7">
        <v>658.58838052135638</v>
      </c>
      <c r="C39" s="7">
        <v>-136.91838052135643</v>
      </c>
    </row>
    <row r="40" spans="1:3" x14ac:dyDescent="0.3">
      <c r="A40" s="7">
        <v>16</v>
      </c>
      <c r="B40" s="7">
        <v>906.45464408452517</v>
      </c>
      <c r="C40" s="7">
        <v>596.47535591547489</v>
      </c>
    </row>
    <row r="41" spans="1:3" x14ac:dyDescent="0.3">
      <c r="A41" s="7">
        <v>17</v>
      </c>
      <c r="B41" s="7">
        <v>902.68695413009505</v>
      </c>
      <c r="C41" s="7">
        <v>-25.106954130095005</v>
      </c>
    </row>
    <row r="42" spans="1:3" x14ac:dyDescent="0.3">
      <c r="A42" s="7">
        <v>18</v>
      </c>
      <c r="B42" s="7">
        <v>741.34117255214414</v>
      </c>
      <c r="C42" s="7">
        <v>-104.6411725521441</v>
      </c>
    </row>
    <row r="43" spans="1:3" x14ac:dyDescent="0.3">
      <c r="A43" s="7">
        <v>19</v>
      </c>
      <c r="B43" s="7">
        <v>1215.6609459103174</v>
      </c>
      <c r="C43" s="7">
        <v>290.47905408968268</v>
      </c>
    </row>
    <row r="44" spans="1:3" x14ac:dyDescent="0.3">
      <c r="A44" s="7">
        <v>20</v>
      </c>
      <c r="B44" s="7">
        <v>668.91969324707895</v>
      </c>
      <c r="C44" s="7">
        <v>-23.899693247078972</v>
      </c>
    </row>
    <row r="45" spans="1:3" x14ac:dyDescent="0.3">
      <c r="A45" s="7">
        <v>21</v>
      </c>
      <c r="B45" s="7">
        <v>1206.6082609971843</v>
      </c>
      <c r="C45" s="7">
        <v>-253.30826099718433</v>
      </c>
    </row>
    <row r="46" spans="1:3" x14ac:dyDescent="0.3">
      <c r="A46" s="7">
        <v>22</v>
      </c>
      <c r="B46" s="7">
        <v>534.76606315019637</v>
      </c>
      <c r="C46" s="7">
        <v>-146.20606315019637</v>
      </c>
    </row>
    <row r="47" spans="1:3" x14ac:dyDescent="0.3">
      <c r="A47" s="7">
        <v>23</v>
      </c>
      <c r="B47" s="7">
        <v>900.7945849674627</v>
      </c>
      <c r="C47" s="7">
        <v>-157.62458496746274</v>
      </c>
    </row>
    <row r="48" spans="1:3" x14ac:dyDescent="0.3">
      <c r="A48" s="7">
        <v>24</v>
      </c>
      <c r="B48" s="7">
        <v>695.05484573640683</v>
      </c>
      <c r="C48" s="7">
        <v>11.315154263593172</v>
      </c>
    </row>
    <row r="49" spans="1:3" x14ac:dyDescent="0.3">
      <c r="A49" s="7">
        <v>25</v>
      </c>
      <c r="B49" s="7">
        <v>1032.8853621933677</v>
      </c>
      <c r="C49" s="7">
        <v>-107.57536219336771</v>
      </c>
    </row>
    <row r="50" spans="1:3" x14ac:dyDescent="0.3">
      <c r="A50" s="7">
        <v>26</v>
      </c>
      <c r="B50" s="7">
        <v>893.99228500448692</v>
      </c>
      <c r="C50" s="7">
        <v>279.12771499551297</v>
      </c>
    </row>
    <row r="51" spans="1:3" x14ac:dyDescent="0.3">
      <c r="A51" s="7">
        <v>27</v>
      </c>
      <c r="B51" s="7">
        <v>797.08934518104297</v>
      </c>
      <c r="C51" s="7">
        <v>-121.54934518104301</v>
      </c>
    </row>
    <row r="52" spans="1:3" x14ac:dyDescent="0.3">
      <c r="A52" s="7">
        <v>28</v>
      </c>
      <c r="B52" s="7">
        <v>1002.3687783995667</v>
      </c>
      <c r="C52" s="7">
        <v>-63.278778399566704</v>
      </c>
    </row>
    <row r="53" spans="1:3" x14ac:dyDescent="0.3">
      <c r="A53" s="7">
        <v>29</v>
      </c>
      <c r="B53" s="7">
        <v>1072.9490336545032</v>
      </c>
      <c r="C53" s="7">
        <v>-89.609033654503151</v>
      </c>
    </row>
    <row r="54" spans="1:3" x14ac:dyDescent="0.3">
      <c r="A54" s="7">
        <v>30</v>
      </c>
      <c r="B54" s="7">
        <v>667.18075942195742</v>
      </c>
      <c r="C54" s="7">
        <v>134.02924057804262</v>
      </c>
    </row>
    <row r="55" spans="1:3" x14ac:dyDescent="0.3">
      <c r="A55" s="7">
        <v>31</v>
      </c>
      <c r="B55" s="7">
        <v>950.47353757927056</v>
      </c>
      <c r="C55" s="7">
        <v>500.23646242072948</v>
      </c>
    </row>
    <row r="56" spans="1:3" x14ac:dyDescent="0.3">
      <c r="A56" s="7">
        <v>32</v>
      </c>
      <c r="B56" s="7">
        <v>1056.8724199575454</v>
      </c>
      <c r="C56" s="7">
        <v>-33.662419957545353</v>
      </c>
    </row>
    <row r="57" spans="1:3" x14ac:dyDescent="0.3">
      <c r="A57" s="7">
        <v>33</v>
      </c>
      <c r="B57" s="7">
        <v>826.99218762480109</v>
      </c>
      <c r="C57" s="7">
        <v>26.727812375198937</v>
      </c>
    </row>
    <row r="58" spans="1:3" x14ac:dyDescent="0.3">
      <c r="A58" s="7">
        <v>34</v>
      </c>
      <c r="B58" s="7">
        <v>765.27708520381816</v>
      </c>
      <c r="C58" s="7">
        <v>202.61291479618183</v>
      </c>
    </row>
    <row r="59" spans="1:3" x14ac:dyDescent="0.3">
      <c r="A59" s="7">
        <v>35</v>
      </c>
      <c r="B59" s="7">
        <v>1269.2269270723973</v>
      </c>
      <c r="C59" s="7">
        <v>-68.326927072397211</v>
      </c>
    </row>
    <row r="60" spans="1:3" x14ac:dyDescent="0.3">
      <c r="A60" s="7">
        <v>36</v>
      </c>
      <c r="B60" s="7">
        <v>651.70083870420808</v>
      </c>
      <c r="C60" s="7">
        <v>-179.32083870420809</v>
      </c>
    </row>
    <row r="61" spans="1:3" x14ac:dyDescent="0.3">
      <c r="A61" s="7">
        <v>37</v>
      </c>
      <c r="B61" s="7">
        <v>1006.8695482998816</v>
      </c>
      <c r="C61" s="7">
        <v>-165.9495482998816</v>
      </c>
    </row>
    <row r="62" spans="1:3" x14ac:dyDescent="0.3">
      <c r="A62" s="7">
        <v>38</v>
      </c>
      <c r="B62" s="7">
        <v>1193.2934833754198</v>
      </c>
      <c r="C62" s="7">
        <v>216.76651662458016</v>
      </c>
    </row>
    <row r="63" spans="1:3" x14ac:dyDescent="0.3">
      <c r="A63" s="7">
        <v>39</v>
      </c>
      <c r="B63" s="7">
        <v>786.093145992774</v>
      </c>
      <c r="C63" s="7">
        <v>-13.003145992773966</v>
      </c>
    </row>
    <row r="64" spans="1:3" x14ac:dyDescent="0.3">
      <c r="A64" s="7">
        <v>40</v>
      </c>
      <c r="B64" s="7">
        <v>730.44726358888215</v>
      </c>
      <c r="C64" s="7">
        <v>-150.0172635888822</v>
      </c>
    </row>
    <row r="65" spans="1:3" x14ac:dyDescent="0.3">
      <c r="A65" s="7">
        <v>41</v>
      </c>
      <c r="B65" s="7">
        <v>1100.5503460356001</v>
      </c>
      <c r="C65" s="7">
        <v>50.659653964399922</v>
      </c>
    </row>
    <row r="66" spans="1:3" x14ac:dyDescent="0.3">
      <c r="A66" s="7">
        <v>42</v>
      </c>
      <c r="B66" s="7">
        <v>1023.6792419427238</v>
      </c>
      <c r="C66" s="7">
        <v>2.3007580572761981</v>
      </c>
    </row>
    <row r="67" spans="1:3" x14ac:dyDescent="0.3">
      <c r="A67" s="7">
        <v>43</v>
      </c>
      <c r="B67" s="7">
        <v>756.83814164072783</v>
      </c>
      <c r="C67" s="7">
        <v>-200.41814164072787</v>
      </c>
    </row>
    <row r="68" spans="1:3" x14ac:dyDescent="0.3">
      <c r="A68" s="7">
        <v>44</v>
      </c>
      <c r="B68" s="7">
        <v>910.06889870144471</v>
      </c>
      <c r="C68" s="7">
        <v>-69.218898701444687</v>
      </c>
    </row>
    <row r="69" spans="1:3" x14ac:dyDescent="0.3">
      <c r="A69" s="7">
        <v>45</v>
      </c>
      <c r="B69" s="7">
        <v>1016.450732708885</v>
      </c>
      <c r="C69" s="7">
        <v>210.79926729111503</v>
      </c>
    </row>
    <row r="70" spans="1:3" x14ac:dyDescent="0.3">
      <c r="A70" s="7">
        <v>46</v>
      </c>
      <c r="B70" s="7">
        <v>759.13967170338879</v>
      </c>
      <c r="C70" s="7">
        <v>97.56032829661126</v>
      </c>
    </row>
    <row r="71" spans="1:3" x14ac:dyDescent="0.3">
      <c r="A71" s="7">
        <v>47</v>
      </c>
      <c r="B71" s="7">
        <v>1193.0889029254054</v>
      </c>
      <c r="C71" s="7">
        <v>32.331097074594709</v>
      </c>
    </row>
    <row r="72" spans="1:3" x14ac:dyDescent="0.3">
      <c r="A72" s="7">
        <v>48</v>
      </c>
      <c r="B72" s="7">
        <v>1162.3847870524246</v>
      </c>
      <c r="C72" s="7">
        <v>-160.81478705242455</v>
      </c>
    </row>
    <row r="73" spans="1:3" x14ac:dyDescent="0.3">
      <c r="A73" s="7">
        <v>49</v>
      </c>
      <c r="B73" s="7">
        <v>960.54912474247521</v>
      </c>
      <c r="C73" s="7">
        <v>226.30087525752469</v>
      </c>
    </row>
    <row r="74" spans="1:3" x14ac:dyDescent="0.3">
      <c r="A74" s="7">
        <v>50</v>
      </c>
      <c r="B74" s="7">
        <v>691.45763949032187</v>
      </c>
      <c r="C74" s="7">
        <v>83.992360509678178</v>
      </c>
    </row>
    <row r="75" spans="1:3" x14ac:dyDescent="0.3">
      <c r="A75" s="7">
        <v>51</v>
      </c>
      <c r="B75" s="7">
        <v>807.59114161511081</v>
      </c>
      <c r="C75" s="7">
        <v>213.87885838488921</v>
      </c>
    </row>
    <row r="76" spans="1:3" x14ac:dyDescent="0.3">
      <c r="A76" s="7">
        <v>52</v>
      </c>
      <c r="B76" s="7">
        <v>1335.0336384936663</v>
      </c>
      <c r="C76" s="7">
        <v>-108.41363849366644</v>
      </c>
    </row>
    <row r="77" spans="1:3" x14ac:dyDescent="0.3">
      <c r="A77" s="7">
        <v>53</v>
      </c>
      <c r="B77" s="7">
        <v>1042.5688368273782</v>
      </c>
      <c r="C77" s="7">
        <v>44.3611631726219</v>
      </c>
    </row>
    <row r="78" spans="1:3" x14ac:dyDescent="0.3">
      <c r="A78" s="7">
        <v>54</v>
      </c>
      <c r="B78" s="7">
        <v>972.6875647766575</v>
      </c>
      <c r="C78" s="7">
        <v>-29.787564776657518</v>
      </c>
    </row>
    <row r="79" spans="1:3" x14ac:dyDescent="0.3">
      <c r="A79" s="7">
        <v>55</v>
      </c>
      <c r="B79" s="7">
        <v>690.62226931943019</v>
      </c>
      <c r="C79" s="7">
        <v>128.17773068056977</v>
      </c>
    </row>
    <row r="80" spans="1:3" x14ac:dyDescent="0.3">
      <c r="A80" s="7">
        <v>56</v>
      </c>
      <c r="B80" s="7">
        <v>832.70339185436706</v>
      </c>
      <c r="C80" s="7">
        <v>86.336608145632908</v>
      </c>
    </row>
    <row r="81" spans="1:3" x14ac:dyDescent="0.3">
      <c r="A81" s="7">
        <v>57</v>
      </c>
      <c r="B81" s="7">
        <v>1057.6907417576026</v>
      </c>
      <c r="C81" s="7">
        <v>-84.430741757602618</v>
      </c>
    </row>
    <row r="82" spans="1:3" x14ac:dyDescent="0.3">
      <c r="A82" s="7">
        <v>58</v>
      </c>
      <c r="B82" s="7">
        <v>646.85910138720271</v>
      </c>
      <c r="C82" s="7">
        <v>94.7508986127973</v>
      </c>
    </row>
    <row r="83" spans="1:3" x14ac:dyDescent="0.3">
      <c r="A83" s="7">
        <v>59</v>
      </c>
      <c r="B83" s="7">
        <v>1160.4583211481233</v>
      </c>
      <c r="C83" s="7">
        <v>88.361678851876604</v>
      </c>
    </row>
    <row r="84" spans="1:3" x14ac:dyDescent="0.3">
      <c r="A84" s="7">
        <v>60</v>
      </c>
      <c r="B84" s="7">
        <v>1553.5937525922855</v>
      </c>
      <c r="C84" s="7">
        <v>-193.23375259228555</v>
      </c>
    </row>
    <row r="85" spans="1:3" x14ac:dyDescent="0.3">
      <c r="A85" s="7">
        <v>61</v>
      </c>
      <c r="B85" s="7">
        <v>1242.9894843580623</v>
      </c>
      <c r="C85" s="7">
        <v>140.31051564193763</v>
      </c>
    </row>
    <row r="86" spans="1:3" x14ac:dyDescent="0.3">
      <c r="A86" s="7">
        <v>62</v>
      </c>
      <c r="B86" s="7">
        <v>769.14706538325549</v>
      </c>
      <c r="C86" s="7">
        <v>-280.15706538325549</v>
      </c>
    </row>
    <row r="87" spans="1:3" x14ac:dyDescent="0.3">
      <c r="A87" s="7">
        <v>63</v>
      </c>
      <c r="B87" s="7">
        <v>895.42434815458716</v>
      </c>
      <c r="C87" s="7">
        <v>38.285651845412872</v>
      </c>
    </row>
    <row r="88" spans="1:3" x14ac:dyDescent="0.3">
      <c r="A88" s="7">
        <v>64</v>
      </c>
      <c r="B88" s="7">
        <v>736.85745102266378</v>
      </c>
      <c r="C88" s="7">
        <v>268.67254897733619</v>
      </c>
    </row>
    <row r="89" spans="1:3" x14ac:dyDescent="0.3">
      <c r="A89" s="7">
        <v>65</v>
      </c>
      <c r="B89" s="7">
        <v>839.42044996317031</v>
      </c>
      <c r="C89" s="7">
        <v>260.6795500368296</v>
      </c>
    </row>
    <row r="90" spans="1:3" x14ac:dyDescent="0.3">
      <c r="A90" s="7">
        <v>66</v>
      </c>
      <c r="B90" s="7">
        <v>918.7806161978873</v>
      </c>
      <c r="C90" s="7">
        <v>115.91938380211275</v>
      </c>
    </row>
    <row r="91" spans="1:3" x14ac:dyDescent="0.3">
      <c r="A91" s="7">
        <v>67</v>
      </c>
      <c r="B91" s="7">
        <v>961.79365581339562</v>
      </c>
      <c r="C91" s="7">
        <v>-85.353655813395562</v>
      </c>
    </row>
    <row r="92" spans="1:3" x14ac:dyDescent="0.3">
      <c r="A92" s="7">
        <v>68</v>
      </c>
      <c r="B92" s="7">
        <v>1171.3522301113853</v>
      </c>
      <c r="C92" s="7">
        <v>199.98776988861459</v>
      </c>
    </row>
    <row r="93" spans="1:3" x14ac:dyDescent="0.3">
      <c r="A93" s="7">
        <v>69</v>
      </c>
      <c r="B93" s="7">
        <v>807.09673886090957</v>
      </c>
      <c r="C93" s="7">
        <v>213.16326113909042</v>
      </c>
    </row>
    <row r="94" spans="1:3" x14ac:dyDescent="0.3">
      <c r="A94" s="7">
        <v>70</v>
      </c>
      <c r="B94" s="7">
        <v>980.56391210220841</v>
      </c>
      <c r="C94" s="7">
        <v>-175.75391210220846</v>
      </c>
    </row>
    <row r="95" spans="1:3" x14ac:dyDescent="0.3">
      <c r="A95" s="7">
        <v>71</v>
      </c>
      <c r="B95" s="7">
        <v>640.44891395342108</v>
      </c>
      <c r="C95" s="7">
        <v>-31.788913953421115</v>
      </c>
    </row>
    <row r="96" spans="1:3" x14ac:dyDescent="0.3">
      <c r="A96" s="7">
        <v>72</v>
      </c>
      <c r="B96" s="7">
        <v>1146.7514309971648</v>
      </c>
      <c r="C96" s="7">
        <v>-165.55143099716474</v>
      </c>
    </row>
    <row r="97" spans="1:3" x14ac:dyDescent="0.3">
      <c r="A97" s="7">
        <v>73</v>
      </c>
      <c r="B97" s="7">
        <v>589.5424786415274</v>
      </c>
      <c r="C97" s="7">
        <v>-49.772478641527414</v>
      </c>
    </row>
    <row r="98" spans="1:3" x14ac:dyDescent="0.3">
      <c r="A98" s="7">
        <v>74</v>
      </c>
      <c r="B98" s="7">
        <v>832.85682719187798</v>
      </c>
      <c r="C98" s="7">
        <v>-28.406827191877937</v>
      </c>
    </row>
    <row r="99" spans="1:3" x14ac:dyDescent="0.3">
      <c r="A99" s="7">
        <v>75</v>
      </c>
      <c r="B99" s="7">
        <v>914.51852348925593</v>
      </c>
      <c r="C99" s="7">
        <v>612.08147651074398</v>
      </c>
    </row>
    <row r="100" spans="1:3" x14ac:dyDescent="0.3">
      <c r="A100" s="7">
        <v>76</v>
      </c>
      <c r="B100" s="7">
        <v>834.25479360030909</v>
      </c>
      <c r="C100" s="7">
        <v>381.00520639969091</v>
      </c>
    </row>
    <row r="101" spans="1:3" x14ac:dyDescent="0.3">
      <c r="A101" s="7">
        <v>77</v>
      </c>
      <c r="B101" s="7">
        <v>1146.632092401323</v>
      </c>
      <c r="C101" s="7">
        <v>114.70790759867691</v>
      </c>
    </row>
    <row r="102" spans="1:3" x14ac:dyDescent="0.3">
      <c r="A102" s="7">
        <v>78</v>
      </c>
      <c r="B102" s="7">
        <v>687.67290116505717</v>
      </c>
      <c r="C102" s="7">
        <v>-169.60290116505712</v>
      </c>
    </row>
    <row r="103" spans="1:3" x14ac:dyDescent="0.3">
      <c r="A103" s="7">
        <v>79</v>
      </c>
      <c r="B103" s="7">
        <v>1246.586690604147</v>
      </c>
      <c r="C103" s="7">
        <v>-135.24669060414703</v>
      </c>
    </row>
    <row r="104" spans="1:3" x14ac:dyDescent="0.3">
      <c r="A104" s="7">
        <v>80</v>
      </c>
      <c r="B104" s="7">
        <v>1384.7807845888121</v>
      </c>
      <c r="C104" s="7">
        <v>-93.310784588812112</v>
      </c>
    </row>
    <row r="105" spans="1:3" x14ac:dyDescent="0.3">
      <c r="A105" s="7">
        <v>81</v>
      </c>
      <c r="B105" s="7">
        <v>857.50877141860201</v>
      </c>
      <c r="C105" s="7">
        <v>-177.79877141860197</v>
      </c>
    </row>
    <row r="106" spans="1:3" x14ac:dyDescent="0.3">
      <c r="A106" s="7">
        <v>82</v>
      </c>
      <c r="B106" s="7">
        <v>1076.4269013047463</v>
      </c>
      <c r="C106" s="7">
        <v>67.263098695253802</v>
      </c>
    </row>
    <row r="107" spans="1:3" x14ac:dyDescent="0.3">
      <c r="A107" s="7">
        <v>83</v>
      </c>
      <c r="B107" s="7">
        <v>697.06655349488085</v>
      </c>
      <c r="C107" s="7">
        <v>93.013446505119191</v>
      </c>
    </row>
    <row r="108" spans="1:3" x14ac:dyDescent="0.3">
      <c r="A108" s="7">
        <v>84</v>
      </c>
      <c r="B108" s="7">
        <v>1087.6276809430296</v>
      </c>
      <c r="C108" s="7">
        <v>-16.947680943029582</v>
      </c>
    </row>
    <row r="109" spans="1:3" x14ac:dyDescent="0.3">
      <c r="A109" s="7">
        <v>85</v>
      </c>
      <c r="B109" s="7">
        <v>1290.7419710655686</v>
      </c>
      <c r="C109" s="7">
        <v>-121.85197106556848</v>
      </c>
    </row>
    <row r="110" spans="1:3" x14ac:dyDescent="0.3">
      <c r="A110" s="7">
        <v>86</v>
      </c>
      <c r="B110" s="7">
        <v>963.36210593017199</v>
      </c>
      <c r="C110" s="7">
        <v>372.5078940698279</v>
      </c>
    </row>
    <row r="111" spans="1:3" x14ac:dyDescent="0.3">
      <c r="A111" s="7">
        <v>87</v>
      </c>
      <c r="B111" s="7">
        <v>915.33684528931315</v>
      </c>
      <c r="C111" s="7">
        <v>-41.636845289313101</v>
      </c>
    </row>
    <row r="112" spans="1:3" x14ac:dyDescent="0.3">
      <c r="A112" s="7">
        <v>88</v>
      </c>
      <c r="B112" s="7">
        <v>1501.7837536261618</v>
      </c>
      <c r="C112" s="7">
        <v>-57.803753626161779</v>
      </c>
    </row>
    <row r="113" spans="1:3" x14ac:dyDescent="0.3">
      <c r="A113" s="7">
        <v>89</v>
      </c>
      <c r="B113" s="7">
        <v>1146.73438262633</v>
      </c>
      <c r="C113" s="7">
        <v>7.5956173736699384</v>
      </c>
    </row>
    <row r="114" spans="1:3" x14ac:dyDescent="0.3">
      <c r="A114" s="7">
        <v>90</v>
      </c>
      <c r="B114" s="7">
        <v>1213.1889321393112</v>
      </c>
      <c r="C114" s="7">
        <v>51.301067860688818</v>
      </c>
    </row>
    <row r="115" spans="1:3" x14ac:dyDescent="0.3">
      <c r="A115" s="7">
        <v>91</v>
      </c>
      <c r="B115" s="7">
        <v>985.55908475672436</v>
      </c>
      <c r="C115" s="7">
        <v>115.99091524327559</v>
      </c>
    </row>
    <row r="116" spans="1:3" x14ac:dyDescent="0.3">
      <c r="A116" s="7">
        <v>92</v>
      </c>
      <c r="B116" s="7">
        <v>784.79746980934999</v>
      </c>
      <c r="C116" s="7">
        <v>-57.067469809349973</v>
      </c>
    </row>
    <row r="117" spans="1:3" x14ac:dyDescent="0.3">
      <c r="A117" s="7">
        <v>93</v>
      </c>
      <c r="B117" s="7">
        <v>964.84531419277562</v>
      </c>
      <c r="C117" s="7">
        <v>-89.43531419277565</v>
      </c>
    </row>
    <row r="118" spans="1:3" x14ac:dyDescent="0.3">
      <c r="A118" s="7">
        <v>94</v>
      </c>
      <c r="B118" s="7">
        <v>789.16185274298857</v>
      </c>
      <c r="C118" s="7">
        <v>369.77814725701148</v>
      </c>
    </row>
    <row r="119" spans="1:3" x14ac:dyDescent="0.3">
      <c r="A119" s="7">
        <v>95</v>
      </c>
      <c r="B119" s="7">
        <v>954.10484056702455</v>
      </c>
      <c r="C119" s="7">
        <v>12.195159432975402</v>
      </c>
    </row>
    <row r="120" spans="1:3" x14ac:dyDescent="0.3">
      <c r="A120" s="7">
        <v>96</v>
      </c>
      <c r="B120" s="7">
        <v>1019.6558264257758</v>
      </c>
      <c r="C120" s="7">
        <v>-102.17582642577577</v>
      </c>
    </row>
    <row r="121" spans="1:3" x14ac:dyDescent="0.3">
      <c r="A121" s="7">
        <v>97</v>
      </c>
      <c r="B121" s="7">
        <v>988.91761381112588</v>
      </c>
      <c r="C121" s="7">
        <v>184.05238618887415</v>
      </c>
    </row>
    <row r="122" spans="1:3" x14ac:dyDescent="0.3">
      <c r="A122" s="7">
        <v>98</v>
      </c>
      <c r="B122" s="7">
        <v>1319.0763633925503</v>
      </c>
      <c r="C122" s="7">
        <v>-113.25636339255038</v>
      </c>
    </row>
    <row r="123" spans="1:3" x14ac:dyDescent="0.3">
      <c r="A123" s="7">
        <v>99</v>
      </c>
      <c r="B123" s="7">
        <v>901.51061654251282</v>
      </c>
      <c r="C123" s="7">
        <v>-74.580616542512871</v>
      </c>
    </row>
    <row r="124" spans="1:3" x14ac:dyDescent="0.3">
      <c r="A124" s="7">
        <v>100</v>
      </c>
      <c r="B124" s="7">
        <v>1163.0496735149713</v>
      </c>
      <c r="C124" s="7">
        <v>-260.85967351497129</v>
      </c>
    </row>
    <row r="125" spans="1:3" x14ac:dyDescent="0.3">
      <c r="A125" s="7">
        <v>101</v>
      </c>
      <c r="B125" s="7">
        <v>753.63304792383701</v>
      </c>
      <c r="C125" s="7">
        <v>-167.66304792383698</v>
      </c>
    </row>
    <row r="126" spans="1:3" x14ac:dyDescent="0.3">
      <c r="A126" s="7">
        <v>102</v>
      </c>
      <c r="B126" s="7">
        <v>1153.6560211851474</v>
      </c>
      <c r="C126" s="7">
        <v>-163.46602118514738</v>
      </c>
    </row>
    <row r="127" spans="1:3" x14ac:dyDescent="0.3">
      <c r="A127" s="7">
        <v>103</v>
      </c>
      <c r="B127" s="7">
        <v>739.77272243536765</v>
      </c>
      <c r="C127" s="7">
        <v>274.31727756463238</v>
      </c>
    </row>
    <row r="128" spans="1:3" x14ac:dyDescent="0.3">
      <c r="A128" s="7">
        <v>104</v>
      </c>
      <c r="B128" s="7">
        <v>788.36057931376581</v>
      </c>
      <c r="C128" s="7">
        <v>136.92942068623415</v>
      </c>
    </row>
    <row r="129" spans="1:3" x14ac:dyDescent="0.3">
      <c r="A129" s="7">
        <v>105</v>
      </c>
      <c r="B129" s="7">
        <v>1161.6687554773748</v>
      </c>
      <c r="C129" s="7">
        <v>124.87124452262515</v>
      </c>
    </row>
    <row r="130" spans="1:3" x14ac:dyDescent="0.3">
      <c r="A130" s="7">
        <v>106</v>
      </c>
      <c r="B130" s="7">
        <v>918.61013248954214</v>
      </c>
      <c r="C130" s="7">
        <v>43.009867510457866</v>
      </c>
    </row>
    <row r="131" spans="1:3" x14ac:dyDescent="0.3">
      <c r="A131" s="7">
        <v>107</v>
      </c>
      <c r="B131" s="7">
        <v>1020.6787286758472</v>
      </c>
      <c r="C131" s="7">
        <v>60.461271324152904</v>
      </c>
    </row>
    <row r="132" spans="1:3" x14ac:dyDescent="0.3">
      <c r="A132" s="7">
        <v>108</v>
      </c>
      <c r="B132" s="7">
        <v>1705.8016074029308</v>
      </c>
      <c r="C132" s="7">
        <v>217.85839259706927</v>
      </c>
    </row>
    <row r="133" spans="1:3" x14ac:dyDescent="0.3">
      <c r="A133" s="7">
        <v>109</v>
      </c>
      <c r="B133" s="7">
        <v>953.047841575284</v>
      </c>
      <c r="C133" s="7">
        <v>-224.33784157528396</v>
      </c>
    </row>
    <row r="134" spans="1:3" x14ac:dyDescent="0.3">
      <c r="A134" s="7">
        <v>110</v>
      </c>
      <c r="B134" s="7">
        <v>1337.2840234438236</v>
      </c>
      <c r="C134" s="7">
        <v>-35.394023443823471</v>
      </c>
    </row>
    <row r="135" spans="1:3" x14ac:dyDescent="0.3">
      <c r="A135" s="7">
        <v>111</v>
      </c>
      <c r="B135" s="7">
        <v>995.56647843659096</v>
      </c>
      <c r="C135" s="7">
        <v>-15.386478436591005</v>
      </c>
    </row>
    <row r="136" spans="1:3" x14ac:dyDescent="0.3">
      <c r="A136" s="7">
        <v>112</v>
      </c>
      <c r="B136" s="7">
        <v>929.16307403611347</v>
      </c>
      <c r="C136" s="7">
        <v>-231.59307403611342</v>
      </c>
    </row>
    <row r="137" spans="1:3" x14ac:dyDescent="0.3">
      <c r="A137" s="7">
        <v>113</v>
      </c>
      <c r="B137" s="7">
        <v>999.3853135035248</v>
      </c>
      <c r="C137" s="7">
        <v>194.2246864964751</v>
      </c>
    </row>
    <row r="138" spans="1:3" x14ac:dyDescent="0.3">
      <c r="A138" s="7">
        <v>114</v>
      </c>
      <c r="B138" s="7">
        <v>722.62206137583485</v>
      </c>
      <c r="C138" s="7">
        <v>48.397938624165135</v>
      </c>
    </row>
    <row r="139" spans="1:3" x14ac:dyDescent="0.3">
      <c r="A139" s="7">
        <v>115</v>
      </c>
      <c r="B139" s="7">
        <v>844.82478351771488</v>
      </c>
      <c r="C139" s="7">
        <v>-183.73478351771485</v>
      </c>
    </row>
    <row r="140" spans="1:3" x14ac:dyDescent="0.3">
      <c r="A140" s="7">
        <v>116</v>
      </c>
      <c r="B140" s="7">
        <v>687.58765931088465</v>
      </c>
      <c r="C140" s="7">
        <v>1.2423406891153945</v>
      </c>
    </row>
    <row r="141" spans="1:3" x14ac:dyDescent="0.3">
      <c r="A141" s="7">
        <v>117</v>
      </c>
      <c r="B141" s="7">
        <v>1203.2156352011139</v>
      </c>
      <c r="C141" s="7">
        <v>45.884364798886054</v>
      </c>
    </row>
    <row r="142" spans="1:3" x14ac:dyDescent="0.3">
      <c r="A142" s="7">
        <v>118</v>
      </c>
      <c r="B142" s="7">
        <v>1133.1809278128821</v>
      </c>
      <c r="C142" s="7">
        <v>-118.96092781288212</v>
      </c>
    </row>
    <row r="143" spans="1:3" x14ac:dyDescent="0.3">
      <c r="A143" s="7">
        <v>119</v>
      </c>
      <c r="B143" s="7">
        <v>979.77968704382022</v>
      </c>
      <c r="C143" s="7">
        <v>30.800312956179823</v>
      </c>
    </row>
    <row r="144" spans="1:3" x14ac:dyDescent="0.3">
      <c r="A144" s="7">
        <v>120</v>
      </c>
      <c r="B144" s="7">
        <v>936.64730883247023</v>
      </c>
      <c r="C144" s="7">
        <v>20.642691167529733</v>
      </c>
    </row>
    <row r="145" spans="1:3" x14ac:dyDescent="0.3">
      <c r="A145" s="7">
        <v>121</v>
      </c>
      <c r="B145" s="7">
        <v>1005.0283242497528</v>
      </c>
      <c r="C145" s="7">
        <v>72.891675750247259</v>
      </c>
    </row>
    <row r="146" spans="1:3" x14ac:dyDescent="0.3">
      <c r="A146" s="7">
        <v>122</v>
      </c>
      <c r="B146" s="7">
        <v>1385.360429197186</v>
      </c>
      <c r="C146" s="7">
        <v>-222.35042919718603</v>
      </c>
    </row>
    <row r="147" spans="1:3" x14ac:dyDescent="0.3">
      <c r="A147" s="7">
        <v>123</v>
      </c>
      <c r="B147" s="7">
        <v>1094.5152227601779</v>
      </c>
      <c r="C147" s="7">
        <v>-79.955222760178003</v>
      </c>
    </row>
    <row r="148" spans="1:3" x14ac:dyDescent="0.3">
      <c r="A148" s="7">
        <v>124</v>
      </c>
      <c r="B148" s="7">
        <v>700.03297002008833</v>
      </c>
      <c r="C148" s="7">
        <v>18.007029979911636</v>
      </c>
    </row>
    <row r="149" spans="1:3" x14ac:dyDescent="0.3">
      <c r="A149" s="7">
        <v>125</v>
      </c>
      <c r="B149" s="7">
        <v>1265.4080920054635</v>
      </c>
      <c r="C149" s="7">
        <v>12.44190799453645</v>
      </c>
    </row>
    <row r="150" spans="1:3" x14ac:dyDescent="0.3">
      <c r="A150" s="7">
        <v>126</v>
      </c>
      <c r="B150" s="7">
        <v>650.0300983624245</v>
      </c>
      <c r="C150" s="7">
        <v>56.699901637575522</v>
      </c>
    </row>
    <row r="151" spans="1:3" x14ac:dyDescent="0.3">
      <c r="A151" s="7">
        <v>127</v>
      </c>
      <c r="B151" s="7">
        <v>995.20846264906584</v>
      </c>
      <c r="C151" s="7">
        <v>415.38153735093408</v>
      </c>
    </row>
    <row r="152" spans="1:3" x14ac:dyDescent="0.3">
      <c r="A152" s="7">
        <v>128</v>
      </c>
      <c r="B152" s="7">
        <v>1199.7377675508706</v>
      </c>
      <c r="C152" s="7">
        <v>150.59223244912937</v>
      </c>
    </row>
    <row r="153" spans="1:3" x14ac:dyDescent="0.3">
      <c r="A153" s="7">
        <v>129</v>
      </c>
      <c r="B153" s="7">
        <v>727.003492680308</v>
      </c>
      <c r="C153" s="7">
        <v>192.17650731969195</v>
      </c>
    </row>
    <row r="154" spans="1:3" x14ac:dyDescent="0.3">
      <c r="A154" s="7">
        <v>130</v>
      </c>
      <c r="B154" s="7">
        <v>504.18128587305733</v>
      </c>
      <c r="C154" s="7">
        <v>-245.67128587305734</v>
      </c>
    </row>
    <row r="155" spans="1:3" x14ac:dyDescent="0.3">
      <c r="A155" s="7">
        <v>131</v>
      </c>
      <c r="B155" s="7">
        <v>1180.132141091166</v>
      </c>
      <c r="C155" s="7">
        <v>33.347858908834041</v>
      </c>
    </row>
    <row r="156" spans="1:3" x14ac:dyDescent="0.3">
      <c r="A156" s="7">
        <v>132</v>
      </c>
      <c r="B156" s="7">
        <v>1139.1990027174697</v>
      </c>
      <c r="C156" s="7">
        <v>11.080997282530234</v>
      </c>
    </row>
    <row r="157" spans="1:3" x14ac:dyDescent="0.3">
      <c r="A157" s="7">
        <v>133</v>
      </c>
      <c r="B157" s="7">
        <v>852.54769550575509</v>
      </c>
      <c r="C157" s="7">
        <v>1.3123044942449269</v>
      </c>
    </row>
    <row r="158" spans="1:3" x14ac:dyDescent="0.3">
      <c r="A158" s="7">
        <v>134</v>
      </c>
      <c r="B158" s="7">
        <v>846.22274992614598</v>
      </c>
      <c r="C158" s="7">
        <v>214.81725007385398</v>
      </c>
    </row>
    <row r="159" spans="1:3" x14ac:dyDescent="0.3">
      <c r="A159" s="7">
        <v>135</v>
      </c>
      <c r="B159" s="7">
        <v>699.0100677700168</v>
      </c>
      <c r="C159" s="7">
        <v>195.53993222998315</v>
      </c>
    </row>
    <row r="160" spans="1:3" x14ac:dyDescent="0.3">
      <c r="A160" s="7">
        <v>136</v>
      </c>
      <c r="B160" s="7">
        <v>1001.7720854203583</v>
      </c>
      <c r="C160" s="7">
        <v>-167.86208542035831</v>
      </c>
    </row>
    <row r="161" spans="1:3" x14ac:dyDescent="0.3">
      <c r="A161" s="7">
        <v>137</v>
      </c>
      <c r="B161" s="7">
        <v>785.51350138440012</v>
      </c>
      <c r="C161" s="7">
        <v>34.67649861559994</v>
      </c>
    </row>
    <row r="162" spans="1:3" x14ac:dyDescent="0.3">
      <c r="A162" s="7">
        <v>138</v>
      </c>
      <c r="B162" s="7">
        <v>601.203564292343</v>
      </c>
      <c r="C162" s="7">
        <v>-89.463564292342994</v>
      </c>
    </row>
    <row r="163" spans="1:3" x14ac:dyDescent="0.3">
      <c r="A163" s="7">
        <v>139</v>
      </c>
      <c r="B163" s="7">
        <v>850.89400353480607</v>
      </c>
      <c r="C163" s="7">
        <v>-44.864003534806102</v>
      </c>
    </row>
    <row r="164" spans="1:3" x14ac:dyDescent="0.3">
      <c r="A164" s="7">
        <v>140</v>
      </c>
      <c r="B164" s="7">
        <v>1120.5310366536642</v>
      </c>
      <c r="C164" s="7">
        <v>311.93896334633587</v>
      </c>
    </row>
    <row r="165" spans="1:3" x14ac:dyDescent="0.3">
      <c r="A165" s="7">
        <v>141</v>
      </c>
      <c r="B165" s="7">
        <v>933.27173140723414</v>
      </c>
      <c r="C165" s="7">
        <v>555.30826859276578</v>
      </c>
    </row>
    <row r="166" spans="1:3" x14ac:dyDescent="0.3">
      <c r="A166" s="7">
        <v>142</v>
      </c>
      <c r="B166" s="7">
        <v>1233.6299287699076</v>
      </c>
      <c r="C166" s="7">
        <v>-2.369928769907574</v>
      </c>
    </row>
    <row r="167" spans="1:3" x14ac:dyDescent="0.3">
      <c r="A167" s="7">
        <v>143</v>
      </c>
      <c r="B167" s="7">
        <v>790.082464768053</v>
      </c>
      <c r="C167" s="7">
        <v>371.58753523194707</v>
      </c>
    </row>
    <row r="168" spans="1:3" x14ac:dyDescent="0.3">
      <c r="A168" s="7">
        <v>144</v>
      </c>
      <c r="B168" s="7">
        <v>676.94947591014056</v>
      </c>
      <c r="C168" s="7">
        <v>-288.71947591014055</v>
      </c>
    </row>
    <row r="169" spans="1:3" x14ac:dyDescent="0.3">
      <c r="A169" s="7">
        <v>145</v>
      </c>
      <c r="B169" s="7">
        <v>1545.6151150417274</v>
      </c>
      <c r="C169" s="7">
        <v>43.804884958272623</v>
      </c>
    </row>
    <row r="170" spans="1:3" x14ac:dyDescent="0.3">
      <c r="A170" s="7">
        <v>146</v>
      </c>
      <c r="B170" s="7">
        <v>623.57102682724064</v>
      </c>
      <c r="C170" s="7">
        <v>-286.91102682724062</v>
      </c>
    </row>
    <row r="171" spans="1:3" x14ac:dyDescent="0.3">
      <c r="A171" s="7">
        <v>147</v>
      </c>
      <c r="B171" s="7">
        <v>1224.8670661609613</v>
      </c>
      <c r="C171" s="7">
        <v>128.92293383903871</v>
      </c>
    </row>
    <row r="172" spans="1:3" x14ac:dyDescent="0.3">
      <c r="A172" s="7">
        <v>148</v>
      </c>
      <c r="B172" s="7">
        <v>930.57808881537915</v>
      </c>
      <c r="C172" s="7">
        <v>-267.96808881537913</v>
      </c>
    </row>
    <row r="173" spans="1:3" x14ac:dyDescent="0.3">
      <c r="A173" s="7">
        <v>149</v>
      </c>
      <c r="B173" s="7">
        <v>583.89946789529938</v>
      </c>
      <c r="C173" s="7">
        <v>-274.47946789529936</v>
      </c>
    </row>
    <row r="174" spans="1:3" x14ac:dyDescent="0.3">
      <c r="A174" s="7">
        <v>150</v>
      </c>
      <c r="B174" s="7">
        <v>936.93713113665717</v>
      </c>
      <c r="C174" s="7">
        <v>-52.307131136657176</v>
      </c>
    </row>
    <row r="175" spans="1:3" x14ac:dyDescent="0.3">
      <c r="A175" s="7">
        <v>151</v>
      </c>
      <c r="B175" s="7">
        <v>908.43225510133027</v>
      </c>
      <c r="C175" s="7">
        <v>-163.38225510133032</v>
      </c>
    </row>
    <row r="176" spans="1:3" x14ac:dyDescent="0.3">
      <c r="A176" s="7">
        <v>152</v>
      </c>
      <c r="B176" s="7">
        <v>1098.7091219854715</v>
      </c>
      <c r="C176" s="7">
        <v>-228.47912198547147</v>
      </c>
    </row>
    <row r="177" spans="1:3" x14ac:dyDescent="0.3">
      <c r="A177" s="7">
        <v>153</v>
      </c>
      <c r="B177" s="7">
        <v>882.74036025370003</v>
      </c>
      <c r="C177" s="7">
        <v>-20.550360253699978</v>
      </c>
    </row>
    <row r="178" spans="1:3" x14ac:dyDescent="0.3">
      <c r="A178" s="7">
        <v>154</v>
      </c>
      <c r="B178" s="7">
        <v>1342.4155830650157</v>
      </c>
      <c r="C178" s="7">
        <v>-171.23558306501559</v>
      </c>
    </row>
    <row r="179" spans="1:3" x14ac:dyDescent="0.3">
      <c r="A179" s="7">
        <v>155</v>
      </c>
      <c r="B179" s="7">
        <v>960.32749592162634</v>
      </c>
      <c r="C179" s="7">
        <v>94.232504078373609</v>
      </c>
    </row>
    <row r="180" spans="1:3" x14ac:dyDescent="0.3">
      <c r="A180" s="7">
        <v>156</v>
      </c>
      <c r="B180" s="7">
        <v>967.23208610960933</v>
      </c>
      <c r="C180" s="7">
        <v>713.97791389039071</v>
      </c>
    </row>
    <row r="181" spans="1:3" x14ac:dyDescent="0.3">
      <c r="A181" s="7">
        <v>157</v>
      </c>
      <c r="B181" s="7">
        <v>701.53322665352653</v>
      </c>
      <c r="C181" s="7">
        <v>-321.76322665352654</v>
      </c>
    </row>
    <row r="182" spans="1:3" x14ac:dyDescent="0.3">
      <c r="A182" s="7">
        <v>158</v>
      </c>
      <c r="B182" s="7">
        <v>1219.7355065397692</v>
      </c>
      <c r="C182" s="7">
        <v>-143.40550653976925</v>
      </c>
    </row>
    <row r="183" spans="1:3" x14ac:dyDescent="0.3">
      <c r="A183" s="7">
        <v>159</v>
      </c>
      <c r="B183" s="7">
        <v>1353.5140724782923</v>
      </c>
      <c r="C183" s="7">
        <v>-102.80407247829226</v>
      </c>
    </row>
    <row r="184" spans="1:3" x14ac:dyDescent="0.3">
      <c r="A184" s="7">
        <v>160</v>
      </c>
      <c r="B184" s="7">
        <v>1156.6394860811895</v>
      </c>
      <c r="C184" s="7">
        <v>-38.299486081189571</v>
      </c>
    </row>
    <row r="185" spans="1:3" x14ac:dyDescent="0.3">
      <c r="A185" s="7">
        <v>161</v>
      </c>
      <c r="B185" s="7">
        <v>1500.522174184407</v>
      </c>
      <c r="C185" s="7">
        <v>122.09782581559284</v>
      </c>
    </row>
    <row r="186" spans="1:3" x14ac:dyDescent="0.3">
      <c r="A186" s="7">
        <v>162</v>
      </c>
      <c r="B186" s="7">
        <v>743.48926727729429</v>
      </c>
      <c r="C186" s="7">
        <v>-102.8492672772943</v>
      </c>
    </row>
    <row r="187" spans="1:3" x14ac:dyDescent="0.3">
      <c r="A187" s="7">
        <v>163</v>
      </c>
      <c r="B187" s="7">
        <v>842.91536598424796</v>
      </c>
      <c r="C187" s="7">
        <v>-257.75536598424799</v>
      </c>
    </row>
    <row r="188" spans="1:3" x14ac:dyDescent="0.3">
      <c r="A188" s="7">
        <v>164</v>
      </c>
      <c r="B188" s="7">
        <v>1150.9282818516235</v>
      </c>
      <c r="C188" s="7">
        <v>-40.948281851623506</v>
      </c>
    </row>
    <row r="189" spans="1:3" x14ac:dyDescent="0.3">
      <c r="A189" s="7">
        <v>165</v>
      </c>
      <c r="B189" s="7">
        <v>1067.9368126291524</v>
      </c>
      <c r="C189" s="7">
        <v>30.1431873708475</v>
      </c>
    </row>
    <row r="190" spans="1:3" x14ac:dyDescent="0.3">
      <c r="A190" s="7">
        <v>166</v>
      </c>
      <c r="B190" s="7">
        <v>965.18628160946628</v>
      </c>
      <c r="C190" s="7">
        <v>-137.93628160946628</v>
      </c>
    </row>
    <row r="191" spans="1:3" x14ac:dyDescent="0.3">
      <c r="A191" s="7">
        <v>167</v>
      </c>
      <c r="B191" s="7">
        <v>963.15752548015769</v>
      </c>
      <c r="C191" s="7">
        <v>-221.27752548015769</v>
      </c>
    </row>
    <row r="192" spans="1:3" x14ac:dyDescent="0.3">
      <c r="A192" s="7">
        <v>168</v>
      </c>
      <c r="B192" s="7">
        <v>1299.3684467078385</v>
      </c>
      <c r="C192" s="7">
        <v>11.891553292161461</v>
      </c>
    </row>
    <row r="193" spans="1:3" x14ac:dyDescent="0.3">
      <c r="A193" s="7">
        <v>169</v>
      </c>
      <c r="B193" s="7">
        <v>789.84378757636955</v>
      </c>
      <c r="C193" s="7">
        <v>-216.5237875763695</v>
      </c>
    </row>
    <row r="194" spans="1:3" x14ac:dyDescent="0.3">
      <c r="A194" s="7">
        <v>170</v>
      </c>
      <c r="B194" s="7">
        <v>774.24452826277866</v>
      </c>
      <c r="C194" s="7">
        <v>340.97547173722137</v>
      </c>
    </row>
    <row r="195" spans="1:3" x14ac:dyDescent="0.3">
      <c r="A195" s="7">
        <v>171</v>
      </c>
      <c r="B195" s="7">
        <v>1115.007364503278</v>
      </c>
      <c r="C195" s="7">
        <v>-269.16736450327801</v>
      </c>
    </row>
    <row r="196" spans="1:3" x14ac:dyDescent="0.3">
      <c r="A196" s="7">
        <v>172</v>
      </c>
      <c r="B196" s="7">
        <v>832.90797230438147</v>
      </c>
      <c r="C196" s="7">
        <v>196.89202769561848</v>
      </c>
    </row>
    <row r="197" spans="1:3" x14ac:dyDescent="0.3">
      <c r="A197" s="7">
        <v>173</v>
      </c>
      <c r="B197" s="7">
        <v>1043.1143846940831</v>
      </c>
      <c r="C197" s="7">
        <v>146.7156153059168</v>
      </c>
    </row>
    <row r="198" spans="1:3" x14ac:dyDescent="0.3">
      <c r="A198" s="7">
        <v>174</v>
      </c>
      <c r="B198" s="7">
        <v>778.21679866722309</v>
      </c>
      <c r="C198" s="7">
        <v>-73.936798667223115</v>
      </c>
    </row>
    <row r="199" spans="1:3" x14ac:dyDescent="0.3">
      <c r="A199" s="7">
        <v>175</v>
      </c>
      <c r="B199" s="7">
        <v>1387.1675565056457</v>
      </c>
      <c r="C199" s="7">
        <v>231.05244349435429</v>
      </c>
    </row>
    <row r="200" spans="1:3" x14ac:dyDescent="0.3">
      <c r="A200" s="7">
        <v>176</v>
      </c>
      <c r="B200" s="7">
        <v>982.01302362314311</v>
      </c>
      <c r="C200" s="7">
        <v>32.416976376856837</v>
      </c>
    </row>
    <row r="201" spans="1:3" x14ac:dyDescent="0.3">
      <c r="A201" s="7">
        <v>177</v>
      </c>
      <c r="B201" s="7">
        <v>957.94072400479286</v>
      </c>
      <c r="C201" s="7">
        <v>-130.97072400479283</v>
      </c>
    </row>
    <row r="202" spans="1:3" x14ac:dyDescent="0.3">
      <c r="A202" s="7">
        <v>178</v>
      </c>
      <c r="B202" s="7">
        <v>1178.2227235576991</v>
      </c>
      <c r="C202" s="7">
        <v>-155.99272355769904</v>
      </c>
    </row>
    <row r="203" spans="1:3" x14ac:dyDescent="0.3">
      <c r="A203" s="7">
        <v>179</v>
      </c>
      <c r="B203" s="7">
        <v>1143.9214014386334</v>
      </c>
      <c r="C203" s="7">
        <v>-44.231401438633384</v>
      </c>
    </row>
    <row r="204" spans="1:3" x14ac:dyDescent="0.3">
      <c r="A204" s="7">
        <v>180</v>
      </c>
      <c r="B204" s="7">
        <v>830.07794274585012</v>
      </c>
      <c r="C204" s="7">
        <v>-119.55794274585014</v>
      </c>
    </row>
    <row r="205" spans="1:3" x14ac:dyDescent="0.3">
      <c r="A205" s="7">
        <v>181</v>
      </c>
      <c r="B205" s="7">
        <v>666.32834088023105</v>
      </c>
      <c r="C205" s="7">
        <v>-167.14834088023105</v>
      </c>
    </row>
    <row r="206" spans="1:3" x14ac:dyDescent="0.3">
      <c r="A206" s="7">
        <v>182</v>
      </c>
      <c r="B206" s="7">
        <v>1083.4167333469018</v>
      </c>
      <c r="C206" s="7">
        <v>-19.22673334690171</v>
      </c>
    </row>
    <row r="207" spans="1:3" x14ac:dyDescent="0.3">
      <c r="A207" s="7">
        <v>183</v>
      </c>
      <c r="B207" s="7">
        <v>713.77395691271602</v>
      </c>
      <c r="C207" s="7">
        <v>-275.01395691271603</v>
      </c>
    </row>
    <row r="208" spans="1:3" x14ac:dyDescent="0.3">
      <c r="A208" s="7">
        <v>184</v>
      </c>
      <c r="B208" s="7">
        <v>1094.4640776476745</v>
      </c>
      <c r="C208" s="7">
        <v>-229.48407764767444</v>
      </c>
    </row>
    <row r="209" spans="1:3" x14ac:dyDescent="0.3">
      <c r="A209" s="7">
        <v>185</v>
      </c>
      <c r="B209" s="7">
        <v>864.15763604406698</v>
      </c>
      <c r="C209" s="7">
        <v>120.77236395593297</v>
      </c>
    </row>
    <row r="210" spans="1:3" x14ac:dyDescent="0.3">
      <c r="A210" s="7">
        <v>186</v>
      </c>
      <c r="B210" s="7">
        <v>1667.0677088668883</v>
      </c>
      <c r="C210" s="7">
        <v>-173.57770886688832</v>
      </c>
    </row>
    <row r="211" spans="1:3" x14ac:dyDescent="0.3">
      <c r="A211" s="7">
        <v>187</v>
      </c>
      <c r="B211" s="7">
        <v>922.90632193984254</v>
      </c>
      <c r="C211" s="7">
        <v>-233.47632193984259</v>
      </c>
    </row>
    <row r="212" spans="1:3" x14ac:dyDescent="0.3">
      <c r="A212" s="7">
        <v>188</v>
      </c>
      <c r="B212" s="7">
        <v>975.55169107685788</v>
      </c>
      <c r="C212" s="7">
        <v>-293.31169107685787</v>
      </c>
    </row>
    <row r="213" spans="1:3" x14ac:dyDescent="0.3">
      <c r="A213" s="7">
        <v>189</v>
      </c>
      <c r="B213" s="7">
        <v>550.34827409295281</v>
      </c>
      <c r="C213" s="7">
        <v>-91.808274092952786</v>
      </c>
    </row>
    <row r="214" spans="1:3" x14ac:dyDescent="0.3">
      <c r="A214" s="7">
        <v>190</v>
      </c>
      <c r="B214" s="7">
        <v>959.30459367155481</v>
      </c>
      <c r="C214" s="7">
        <v>224.94540632844519</v>
      </c>
    </row>
    <row r="215" spans="1:3" x14ac:dyDescent="0.3">
      <c r="A215" s="7">
        <v>191</v>
      </c>
      <c r="B215" s="7">
        <v>1043.6599325607879</v>
      </c>
      <c r="C215" s="7">
        <v>-281.51993256078788</v>
      </c>
    </row>
    <row r="216" spans="1:3" x14ac:dyDescent="0.3">
      <c r="A216" s="7">
        <v>192</v>
      </c>
      <c r="B216" s="7">
        <v>829.14028234995135</v>
      </c>
      <c r="C216" s="7">
        <v>-78.430282349951312</v>
      </c>
    </row>
    <row r="217" spans="1:3" x14ac:dyDescent="0.3">
      <c r="A217" s="7">
        <v>193</v>
      </c>
      <c r="B217" s="7">
        <v>1573.8301687728674</v>
      </c>
      <c r="C217" s="7">
        <v>-116.89016877286736</v>
      </c>
    </row>
    <row r="218" spans="1:3" x14ac:dyDescent="0.3">
      <c r="A218" s="7">
        <v>194</v>
      </c>
      <c r="B218" s="7">
        <v>981.16060508141686</v>
      </c>
      <c r="C218" s="7">
        <v>112.21939491858325</v>
      </c>
    </row>
    <row r="219" spans="1:3" x14ac:dyDescent="0.3">
      <c r="A219" s="7">
        <v>195</v>
      </c>
      <c r="B219" s="7">
        <v>1070.9202775251945</v>
      </c>
      <c r="C219" s="7">
        <v>-136.6502775251945</v>
      </c>
    </row>
    <row r="220" spans="1:3" x14ac:dyDescent="0.3">
      <c r="A220" s="7">
        <v>196</v>
      </c>
      <c r="B220" s="7">
        <v>1393.270873264406</v>
      </c>
      <c r="C220" s="7">
        <v>72.079126735593945</v>
      </c>
    </row>
    <row r="221" spans="1:3" x14ac:dyDescent="0.3">
      <c r="A221" s="7">
        <v>197</v>
      </c>
      <c r="B221" s="7">
        <v>962.3221553092659</v>
      </c>
      <c r="C221" s="7">
        <v>-221.52215530926594</v>
      </c>
    </row>
    <row r="222" spans="1:3" x14ac:dyDescent="0.3">
      <c r="A222" s="7">
        <v>198</v>
      </c>
      <c r="B222" s="7">
        <v>812.44992730295064</v>
      </c>
      <c r="C222" s="7">
        <v>-267.00992730295059</v>
      </c>
    </row>
    <row r="223" spans="1:3" x14ac:dyDescent="0.3">
      <c r="A223" s="7">
        <v>199</v>
      </c>
      <c r="B223" s="7">
        <v>1040.2843551355518</v>
      </c>
      <c r="C223" s="7">
        <v>-42.674355135551764</v>
      </c>
    </row>
    <row r="224" spans="1:3" ht="15" thickBot="1" x14ac:dyDescent="0.35">
      <c r="A224" s="8">
        <v>200</v>
      </c>
      <c r="B224" s="8">
        <v>1145.7455771179275</v>
      </c>
      <c r="C224" s="8">
        <v>-217.42557711792745</v>
      </c>
    </row>
  </sheetData>
  <conditionalFormatting sqref="B24:B224">
    <cfRule type="top10" dxfId="11" priority="1" bottom="1" rank="10"/>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8163A-61AE-4723-8BC7-75FE7A99055D}">
  <dimension ref="A3:B9"/>
  <sheetViews>
    <sheetView workbookViewId="0">
      <selection activeCell="D2" sqref="D2"/>
    </sheetView>
  </sheetViews>
  <sheetFormatPr defaultRowHeight="14.4" x14ac:dyDescent="0.3"/>
  <cols>
    <col min="1" max="1" width="12.5546875" bestFit="1" customWidth="1"/>
    <col min="2" max="2" width="11.6640625" bestFit="1" customWidth="1"/>
  </cols>
  <sheetData>
    <row r="3" spans="1:2" x14ac:dyDescent="0.3">
      <c r="A3" s="18" t="s">
        <v>121</v>
      </c>
      <c r="B3" t="s">
        <v>123</v>
      </c>
    </row>
    <row r="4" spans="1:2" x14ac:dyDescent="0.3">
      <c r="A4" s="19" t="s">
        <v>36</v>
      </c>
      <c r="B4" s="20">
        <v>43468.33</v>
      </c>
    </row>
    <row r="5" spans="1:2" x14ac:dyDescent="0.3">
      <c r="A5" s="19" t="s">
        <v>20</v>
      </c>
      <c r="B5" s="20">
        <v>32441.64</v>
      </c>
    </row>
    <row r="6" spans="1:2" x14ac:dyDescent="0.3">
      <c r="A6" s="19" t="s">
        <v>26</v>
      </c>
      <c r="B6" s="20">
        <v>34975.42</v>
      </c>
    </row>
    <row r="7" spans="1:2" x14ac:dyDescent="0.3">
      <c r="A7" s="19" t="s">
        <v>22</v>
      </c>
      <c r="B7" s="20">
        <v>40248.79</v>
      </c>
    </row>
    <row r="8" spans="1:2" x14ac:dyDescent="0.3">
      <c r="A8" s="19" t="s">
        <v>13</v>
      </c>
      <c r="B8" s="20">
        <v>44083.58</v>
      </c>
    </row>
    <row r="9" spans="1:2" x14ac:dyDescent="0.3">
      <c r="A9" s="19" t="s">
        <v>122</v>
      </c>
      <c r="B9" s="20">
        <v>195217.76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B8384-07C8-4CB3-B951-C3FE662A3259}">
  <dimension ref="A3:I20"/>
  <sheetViews>
    <sheetView workbookViewId="0">
      <selection activeCell="I20" sqref="I20"/>
    </sheetView>
  </sheetViews>
  <sheetFormatPr defaultRowHeight="14.4" x14ac:dyDescent="0.3"/>
  <cols>
    <col min="1" max="1" width="12.5546875" bestFit="1" customWidth="1"/>
    <col min="2" max="2" width="11.6640625" bestFit="1" customWidth="1"/>
    <col min="9" max="9" width="12.77734375" bestFit="1" customWidth="1"/>
  </cols>
  <sheetData>
    <row r="3" spans="1:2" x14ac:dyDescent="0.3">
      <c r="A3" s="18" t="s">
        <v>121</v>
      </c>
      <c r="B3" t="s">
        <v>123</v>
      </c>
    </row>
    <row r="4" spans="1:2" x14ac:dyDescent="0.3">
      <c r="A4" s="19" t="s">
        <v>124</v>
      </c>
      <c r="B4" s="20">
        <v>145429.36000000002</v>
      </c>
    </row>
    <row r="5" spans="1:2" x14ac:dyDescent="0.3">
      <c r="A5" s="21" t="s">
        <v>126</v>
      </c>
      <c r="B5" s="20">
        <v>19029.96</v>
      </c>
    </row>
    <row r="6" spans="1:2" x14ac:dyDescent="0.3">
      <c r="A6" s="21" t="s">
        <v>127</v>
      </c>
      <c r="B6" s="20">
        <v>18507.339999999997</v>
      </c>
    </row>
    <row r="7" spans="1:2" x14ac:dyDescent="0.3">
      <c r="A7" s="21" t="s">
        <v>128</v>
      </c>
      <c r="B7" s="20">
        <v>20187.509999999998</v>
      </c>
    </row>
    <row r="8" spans="1:2" x14ac:dyDescent="0.3">
      <c r="A8" s="21" t="s">
        <v>129</v>
      </c>
      <c r="B8" s="20">
        <v>11609.039999999999</v>
      </c>
    </row>
    <row r="9" spans="1:2" x14ac:dyDescent="0.3">
      <c r="A9" s="21" t="s">
        <v>130</v>
      </c>
      <c r="B9" s="20">
        <v>10091.699999999999</v>
      </c>
    </row>
    <row r="10" spans="1:2" x14ac:dyDescent="0.3">
      <c r="A10" s="21" t="s">
        <v>131</v>
      </c>
      <c r="B10" s="20">
        <v>20533.499999999996</v>
      </c>
    </row>
    <row r="11" spans="1:2" x14ac:dyDescent="0.3">
      <c r="A11" s="21" t="s">
        <v>132</v>
      </c>
      <c r="B11" s="20">
        <v>14215.240000000002</v>
      </c>
    </row>
    <row r="12" spans="1:2" x14ac:dyDescent="0.3">
      <c r="A12" s="21" t="s">
        <v>133</v>
      </c>
      <c r="B12" s="20">
        <v>20135.030000000002</v>
      </c>
    </row>
    <row r="13" spans="1:2" x14ac:dyDescent="0.3">
      <c r="A13" s="21" t="s">
        <v>134</v>
      </c>
      <c r="B13" s="20">
        <v>11120.04</v>
      </c>
    </row>
    <row r="14" spans="1:2" x14ac:dyDescent="0.3">
      <c r="A14" s="19" t="s">
        <v>125</v>
      </c>
      <c r="B14" s="20">
        <v>49788.399999999994</v>
      </c>
    </row>
    <row r="15" spans="1:2" x14ac:dyDescent="0.3">
      <c r="A15" s="21" t="s">
        <v>135</v>
      </c>
      <c r="B15" s="20">
        <v>14914.650000000001</v>
      </c>
    </row>
    <row r="16" spans="1:2" x14ac:dyDescent="0.3">
      <c r="A16" s="21" t="s">
        <v>136</v>
      </c>
      <c r="B16" s="20">
        <v>14006.359999999999</v>
      </c>
    </row>
    <row r="17" spans="1:9" x14ac:dyDescent="0.3">
      <c r="A17" s="21" t="s">
        <v>137</v>
      </c>
      <c r="B17" s="20">
        <v>17655.219999999998</v>
      </c>
    </row>
    <row r="18" spans="1:9" x14ac:dyDescent="0.3">
      <c r="A18" s="21" t="s">
        <v>126</v>
      </c>
      <c r="B18" s="20">
        <v>3212.17</v>
      </c>
    </row>
    <row r="19" spans="1:9" x14ac:dyDescent="0.3">
      <c r="A19" s="19" t="s">
        <v>122</v>
      </c>
      <c r="B19" s="20">
        <v>195217.76</v>
      </c>
    </row>
    <row r="20" spans="1:9" x14ac:dyDescent="0.3">
      <c r="I20" s="22">
        <f>GETPIVOTDATA("Sales",$A$3)</f>
        <v>195217.76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2F85B-652E-46C9-BD88-D43E303E1005}">
  <dimension ref="A3:B9"/>
  <sheetViews>
    <sheetView workbookViewId="0">
      <selection activeCell="D5" sqref="D5"/>
    </sheetView>
  </sheetViews>
  <sheetFormatPr defaultRowHeight="14.4" x14ac:dyDescent="0.3"/>
  <cols>
    <col min="1" max="1" width="13.109375" bestFit="1" customWidth="1"/>
    <col min="2" max="2" width="11.6640625" bestFit="1" customWidth="1"/>
  </cols>
  <sheetData>
    <row r="3" spans="1:2" x14ac:dyDescent="0.3">
      <c r="A3" s="18" t="s">
        <v>121</v>
      </c>
      <c r="B3" t="s">
        <v>123</v>
      </c>
    </row>
    <row r="4" spans="1:2" x14ac:dyDescent="0.3">
      <c r="A4" s="19" t="s">
        <v>14</v>
      </c>
      <c r="B4" s="20">
        <v>47002.460000000006</v>
      </c>
    </row>
    <row r="5" spans="1:2" x14ac:dyDescent="0.3">
      <c r="A5" s="19" t="s">
        <v>17</v>
      </c>
      <c r="B5" s="20">
        <v>41927.589999999989</v>
      </c>
    </row>
    <row r="6" spans="1:2" x14ac:dyDescent="0.3">
      <c r="A6" s="19" t="s">
        <v>23</v>
      </c>
      <c r="B6" s="20">
        <v>41044.000000000007</v>
      </c>
    </row>
    <row r="7" spans="1:2" x14ac:dyDescent="0.3">
      <c r="A7" s="19" t="s">
        <v>29</v>
      </c>
      <c r="B7" s="20">
        <v>36612.89</v>
      </c>
    </row>
    <row r="8" spans="1:2" x14ac:dyDescent="0.3">
      <c r="A8" s="19" t="s">
        <v>41</v>
      </c>
      <c r="B8" s="20">
        <v>28630.819999999992</v>
      </c>
    </row>
    <row r="9" spans="1:2" x14ac:dyDescent="0.3">
      <c r="A9" s="19" t="s">
        <v>122</v>
      </c>
      <c r="B9" s="20">
        <v>195217.76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workbookViewId="0">
      <selection activeCell="M26" sqref="M26"/>
    </sheetView>
  </sheetViews>
  <sheetFormatPr defaultColWidth="14.44140625" defaultRowHeight="15" customHeight="1" x14ac:dyDescent="0.3"/>
  <cols>
    <col min="1" max="1" width="12.44140625" customWidth="1"/>
    <col min="2" max="2" width="16.5546875" customWidth="1"/>
    <col min="3" max="3" width="7.33203125" customWidth="1"/>
    <col min="4" max="4" width="16.6640625" customWidth="1"/>
    <col min="5" max="5" width="8" customWidth="1"/>
    <col min="6" max="6" width="8.88671875" customWidth="1"/>
    <col min="7" max="7" width="8.6640625" customWidth="1"/>
    <col min="8" max="8" width="11.33203125" customWidth="1"/>
    <col min="9" max="9" width="7" customWidth="1"/>
    <col min="10" max="10" width="13.33203125" bestFit="1" customWidth="1"/>
    <col min="11" max="11" width="15.44140625" bestFit="1" customWidth="1"/>
    <col min="12" max="26" width="8.6640625" customWidth="1"/>
  </cols>
  <sheetData>
    <row r="1" spans="1:26" ht="14.4" x14ac:dyDescent="0.3">
      <c r="A1" s="4" t="s">
        <v>2</v>
      </c>
      <c r="B1" s="4" t="s">
        <v>3</v>
      </c>
      <c r="C1" s="4" t="s">
        <v>4</v>
      </c>
      <c r="D1" s="4" t="s">
        <v>5</v>
      </c>
      <c r="E1" t="s">
        <v>6</v>
      </c>
      <c r="F1" s="4" t="s">
        <v>7</v>
      </c>
      <c r="G1" s="4" t="s">
        <v>8</v>
      </c>
      <c r="H1" s="4" t="s">
        <v>9</v>
      </c>
      <c r="I1" s="4" t="s">
        <v>10</v>
      </c>
      <c r="J1" s="16" t="s">
        <v>120</v>
      </c>
      <c r="K1" s="17">
        <f ca="1">NOW()</f>
        <v>46028.943489351848</v>
      </c>
      <c r="L1" s="4"/>
      <c r="M1" s="4"/>
      <c r="N1" s="4"/>
      <c r="O1" s="4"/>
      <c r="P1" s="4"/>
      <c r="Q1" s="4"/>
      <c r="R1" s="4"/>
      <c r="S1" s="4"/>
      <c r="T1" s="4"/>
      <c r="U1" s="4"/>
      <c r="V1" s="4"/>
      <c r="W1" s="4"/>
      <c r="X1" s="4"/>
      <c r="Y1" s="4"/>
      <c r="Z1" s="4"/>
    </row>
    <row r="2" spans="1:26" ht="14.4" x14ac:dyDescent="0.3">
      <c r="A2" s="5" t="s">
        <v>11</v>
      </c>
      <c r="B2" s="5" t="s">
        <v>12</v>
      </c>
      <c r="C2" s="5" t="s">
        <v>13</v>
      </c>
      <c r="D2" s="5" t="s">
        <v>14</v>
      </c>
      <c r="E2" s="5">
        <v>1036.0899999999999</v>
      </c>
      <c r="F2" s="5">
        <v>4</v>
      </c>
      <c r="G2" s="5">
        <v>0.2</v>
      </c>
      <c r="H2" s="6">
        <v>45392</v>
      </c>
      <c r="I2" s="5">
        <v>331.55</v>
      </c>
      <c r="J2">
        <f>E2*F2</f>
        <v>4144.3599999999997</v>
      </c>
      <c r="K2" s="17">
        <f t="shared" ref="K2:K65" ca="1" si="0">NOW()</f>
        <v>46028.943489351848</v>
      </c>
    </row>
    <row r="3" spans="1:26" ht="14.4" x14ac:dyDescent="0.3">
      <c r="A3" s="5" t="s">
        <v>15</v>
      </c>
      <c r="B3" s="5" t="s">
        <v>16</v>
      </c>
      <c r="C3" s="5" t="s">
        <v>13</v>
      </c>
      <c r="D3" s="5" t="s">
        <v>17</v>
      </c>
      <c r="E3" s="5">
        <v>1101.28</v>
      </c>
      <c r="F3" s="5">
        <v>3</v>
      </c>
      <c r="G3" s="5">
        <v>0.2</v>
      </c>
      <c r="H3" s="6">
        <v>45393</v>
      </c>
      <c r="I3" s="5">
        <v>440.51</v>
      </c>
      <c r="J3">
        <f t="shared" ref="J3:J66" si="1">E3*F3</f>
        <v>3303.84</v>
      </c>
      <c r="K3" s="17">
        <f t="shared" ca="1" si="0"/>
        <v>46028.943489351848</v>
      </c>
    </row>
    <row r="4" spans="1:26" ht="14.4" x14ac:dyDescent="0.3">
      <c r="A4" s="5" t="s">
        <v>18</v>
      </c>
      <c r="B4" s="5" t="s">
        <v>19</v>
      </c>
      <c r="C4" s="5" t="s">
        <v>20</v>
      </c>
      <c r="D4" s="5" t="s">
        <v>14</v>
      </c>
      <c r="E4" s="5">
        <v>713.34</v>
      </c>
      <c r="F4" s="5">
        <v>17</v>
      </c>
      <c r="G4" s="5">
        <v>0</v>
      </c>
      <c r="H4" s="6">
        <v>45396</v>
      </c>
      <c r="I4" s="5">
        <v>285.33999999999997</v>
      </c>
      <c r="J4">
        <f t="shared" si="1"/>
        <v>12126.78</v>
      </c>
      <c r="K4" s="17">
        <f t="shared" ca="1" si="0"/>
        <v>46028.943489351848</v>
      </c>
    </row>
    <row r="5" spans="1:26" ht="14.4" x14ac:dyDescent="0.3">
      <c r="A5" s="5" t="s">
        <v>21</v>
      </c>
      <c r="B5" s="5" t="s">
        <v>16</v>
      </c>
      <c r="C5" s="5" t="s">
        <v>22</v>
      </c>
      <c r="D5" s="5" t="s">
        <v>23</v>
      </c>
      <c r="E5" s="5">
        <v>760.93</v>
      </c>
      <c r="F5" s="5">
        <v>4</v>
      </c>
      <c r="G5" s="5">
        <v>0.15</v>
      </c>
      <c r="H5" s="6">
        <v>45396</v>
      </c>
      <c r="I5" s="5">
        <v>161.69999999999999</v>
      </c>
      <c r="J5">
        <f t="shared" si="1"/>
        <v>3043.72</v>
      </c>
      <c r="K5" s="17">
        <f t="shared" ca="1" si="0"/>
        <v>46028.943489351848</v>
      </c>
    </row>
    <row r="6" spans="1:26" ht="14.4" x14ac:dyDescent="0.3">
      <c r="A6" s="5" t="s">
        <v>24</v>
      </c>
      <c r="B6" s="5" t="s">
        <v>25</v>
      </c>
      <c r="C6" s="5" t="s">
        <v>26</v>
      </c>
      <c r="D6" s="5" t="s">
        <v>14</v>
      </c>
      <c r="E6" s="5">
        <v>847</v>
      </c>
      <c r="F6" s="5">
        <v>12</v>
      </c>
      <c r="G6" s="5">
        <v>0.2</v>
      </c>
      <c r="H6" s="6">
        <v>45397</v>
      </c>
      <c r="I6" s="5">
        <v>271.04000000000002</v>
      </c>
      <c r="J6">
        <f t="shared" si="1"/>
        <v>10164</v>
      </c>
      <c r="K6" s="17">
        <f t="shared" ca="1" si="0"/>
        <v>46028.943489351848</v>
      </c>
    </row>
    <row r="7" spans="1:26" ht="14.4" x14ac:dyDescent="0.3">
      <c r="A7" s="5" t="s">
        <v>27</v>
      </c>
      <c r="B7" s="5" t="s">
        <v>28</v>
      </c>
      <c r="C7" s="5" t="s">
        <v>26</v>
      </c>
      <c r="D7" s="5" t="s">
        <v>29</v>
      </c>
      <c r="E7" s="5">
        <v>965.64</v>
      </c>
      <c r="F7" s="5">
        <v>8</v>
      </c>
      <c r="G7" s="5">
        <v>0.1</v>
      </c>
      <c r="H7" s="6">
        <v>45398</v>
      </c>
      <c r="I7" s="5">
        <v>304.18</v>
      </c>
      <c r="J7">
        <f t="shared" si="1"/>
        <v>7725.12</v>
      </c>
      <c r="K7" s="17">
        <f t="shared" ca="1" si="0"/>
        <v>46028.943489351848</v>
      </c>
    </row>
    <row r="8" spans="1:26" ht="14.4" x14ac:dyDescent="0.3">
      <c r="A8" s="5" t="s">
        <v>30</v>
      </c>
      <c r="B8" s="5" t="s">
        <v>31</v>
      </c>
      <c r="C8" s="5" t="s">
        <v>13</v>
      </c>
      <c r="D8" s="5" t="s">
        <v>23</v>
      </c>
      <c r="E8" s="5">
        <v>1317.53</v>
      </c>
      <c r="F8" s="5">
        <v>12</v>
      </c>
      <c r="G8" s="5">
        <v>0.05</v>
      </c>
      <c r="H8" s="6">
        <v>45398</v>
      </c>
      <c r="I8" s="5">
        <v>312.91000000000003</v>
      </c>
      <c r="J8">
        <f t="shared" si="1"/>
        <v>15810.36</v>
      </c>
      <c r="K8" s="17">
        <f t="shared" ca="1" si="0"/>
        <v>46028.943489351848</v>
      </c>
    </row>
    <row r="9" spans="1:26" ht="14.4" x14ac:dyDescent="0.3">
      <c r="A9" s="5" t="s">
        <v>32</v>
      </c>
      <c r="B9" s="5" t="s">
        <v>33</v>
      </c>
      <c r="C9" s="5" t="s">
        <v>20</v>
      </c>
      <c r="D9" s="5" t="s">
        <v>29</v>
      </c>
      <c r="E9" s="5">
        <v>1074.47</v>
      </c>
      <c r="F9" s="5">
        <v>6</v>
      </c>
      <c r="G9" s="5">
        <v>0.2</v>
      </c>
      <c r="H9" s="6">
        <v>45401</v>
      </c>
      <c r="I9" s="5">
        <v>300.85000000000002</v>
      </c>
      <c r="J9">
        <f t="shared" si="1"/>
        <v>6446.82</v>
      </c>
      <c r="K9" s="17">
        <f t="shared" ca="1" si="0"/>
        <v>46028.943489351848</v>
      </c>
    </row>
    <row r="10" spans="1:26" ht="14.4" x14ac:dyDescent="0.3">
      <c r="A10" s="5" t="s">
        <v>34</v>
      </c>
      <c r="B10" s="5" t="s">
        <v>35</v>
      </c>
      <c r="C10" s="5" t="s">
        <v>36</v>
      </c>
      <c r="D10" s="5" t="s">
        <v>14</v>
      </c>
      <c r="E10" s="5">
        <v>501.54</v>
      </c>
      <c r="F10" s="5">
        <v>11</v>
      </c>
      <c r="G10" s="5">
        <v>0.05</v>
      </c>
      <c r="H10" s="6">
        <v>45401</v>
      </c>
      <c r="I10" s="5">
        <v>190.59</v>
      </c>
      <c r="J10">
        <f t="shared" si="1"/>
        <v>5516.9400000000005</v>
      </c>
      <c r="K10" s="17">
        <f t="shared" ca="1" si="0"/>
        <v>46028.943489351848</v>
      </c>
    </row>
    <row r="11" spans="1:26" ht="14.4" x14ac:dyDescent="0.3">
      <c r="A11" s="5" t="s">
        <v>37</v>
      </c>
      <c r="B11" s="5" t="s">
        <v>38</v>
      </c>
      <c r="C11" s="5" t="s">
        <v>36</v>
      </c>
      <c r="D11" s="5" t="s">
        <v>17</v>
      </c>
      <c r="E11" s="5">
        <v>737.31</v>
      </c>
      <c r="F11" s="5">
        <v>2</v>
      </c>
      <c r="G11" s="5">
        <v>0.05</v>
      </c>
      <c r="H11" s="6">
        <v>45401</v>
      </c>
      <c r="I11" s="5">
        <v>350.22</v>
      </c>
      <c r="J11">
        <f t="shared" si="1"/>
        <v>1474.62</v>
      </c>
      <c r="K11" s="17">
        <f t="shared" ca="1" si="0"/>
        <v>46028.943489351848</v>
      </c>
    </row>
    <row r="12" spans="1:26" ht="14.4" x14ac:dyDescent="0.3">
      <c r="A12" s="5" t="s">
        <v>39</v>
      </c>
      <c r="B12" s="5" t="s">
        <v>40</v>
      </c>
      <c r="C12" s="5" t="s">
        <v>13</v>
      </c>
      <c r="D12" s="5" t="s">
        <v>41</v>
      </c>
      <c r="E12" s="5">
        <v>1572.82</v>
      </c>
      <c r="F12" s="5">
        <v>6</v>
      </c>
      <c r="G12" s="5">
        <v>0.05</v>
      </c>
      <c r="H12" s="6">
        <v>45402</v>
      </c>
      <c r="I12" s="5">
        <v>672.38</v>
      </c>
      <c r="J12">
        <f t="shared" si="1"/>
        <v>9436.92</v>
      </c>
      <c r="K12" s="17">
        <f t="shared" ca="1" si="0"/>
        <v>46028.943489351848</v>
      </c>
    </row>
    <row r="13" spans="1:26" ht="14.4" x14ac:dyDescent="0.3">
      <c r="A13" s="5" t="s">
        <v>39</v>
      </c>
      <c r="B13" s="5" t="s">
        <v>38</v>
      </c>
      <c r="C13" s="5" t="s">
        <v>36</v>
      </c>
      <c r="D13" s="5" t="s">
        <v>14</v>
      </c>
      <c r="E13" s="5">
        <v>1343.13</v>
      </c>
      <c r="F13" s="5">
        <v>14</v>
      </c>
      <c r="G13" s="5">
        <v>0.15</v>
      </c>
      <c r="H13" s="6">
        <v>45404</v>
      </c>
      <c r="I13" s="5">
        <v>456.66</v>
      </c>
      <c r="J13">
        <f t="shared" si="1"/>
        <v>18803.82</v>
      </c>
      <c r="K13" s="17">
        <f t="shared" ca="1" si="0"/>
        <v>46028.943489351848</v>
      </c>
    </row>
    <row r="14" spans="1:26" ht="14.4" x14ac:dyDescent="0.3">
      <c r="A14" s="5" t="s">
        <v>27</v>
      </c>
      <c r="B14" s="5" t="s">
        <v>28</v>
      </c>
      <c r="C14" s="5" t="s">
        <v>36</v>
      </c>
      <c r="D14" s="5" t="s">
        <v>14</v>
      </c>
      <c r="E14" s="5">
        <v>1191.58</v>
      </c>
      <c r="F14" s="5">
        <v>14</v>
      </c>
      <c r="G14" s="5">
        <v>0.05</v>
      </c>
      <c r="H14" s="6">
        <v>45406</v>
      </c>
      <c r="I14" s="5">
        <v>452.8</v>
      </c>
      <c r="J14">
        <f t="shared" si="1"/>
        <v>16682.12</v>
      </c>
      <c r="K14" s="17">
        <f t="shared" ca="1" si="0"/>
        <v>46028.943489351848</v>
      </c>
    </row>
    <row r="15" spans="1:26" ht="14.4" x14ac:dyDescent="0.3">
      <c r="A15" s="5" t="s">
        <v>42</v>
      </c>
      <c r="B15" s="5" t="s">
        <v>16</v>
      </c>
      <c r="C15" s="5" t="s">
        <v>13</v>
      </c>
      <c r="D15" s="5" t="s">
        <v>29</v>
      </c>
      <c r="E15" s="5">
        <v>822.28</v>
      </c>
      <c r="F15" s="5">
        <v>7</v>
      </c>
      <c r="G15" s="5">
        <v>0.05</v>
      </c>
      <c r="H15" s="6">
        <v>45406</v>
      </c>
      <c r="I15" s="5">
        <v>273.41000000000003</v>
      </c>
      <c r="J15">
        <f t="shared" si="1"/>
        <v>5755.96</v>
      </c>
      <c r="K15" s="17">
        <f t="shared" ca="1" si="0"/>
        <v>46028.943489351848</v>
      </c>
    </row>
    <row r="16" spans="1:26" ht="14.4" x14ac:dyDescent="0.3">
      <c r="A16" s="5" t="s">
        <v>43</v>
      </c>
      <c r="B16" s="5" t="s">
        <v>44</v>
      </c>
      <c r="C16" s="5" t="s">
        <v>26</v>
      </c>
      <c r="D16" s="5" t="s">
        <v>29</v>
      </c>
      <c r="E16" s="5">
        <v>521.66999999999996</v>
      </c>
      <c r="F16" s="5">
        <v>15</v>
      </c>
      <c r="G16" s="5">
        <v>0.15</v>
      </c>
      <c r="H16" s="6">
        <v>45409</v>
      </c>
      <c r="I16" s="5">
        <v>155.19999999999999</v>
      </c>
      <c r="J16">
        <f t="shared" si="1"/>
        <v>7825.0499999999993</v>
      </c>
      <c r="K16" s="17">
        <f t="shared" ca="1" si="0"/>
        <v>46028.943489351848</v>
      </c>
    </row>
    <row r="17" spans="1:11" ht="14.4" x14ac:dyDescent="0.3">
      <c r="A17" s="5" t="s">
        <v>21</v>
      </c>
      <c r="B17" s="5" t="s">
        <v>45</v>
      </c>
      <c r="C17" s="5" t="s">
        <v>22</v>
      </c>
      <c r="D17" s="5" t="s">
        <v>23</v>
      </c>
      <c r="E17" s="5">
        <v>1502.93</v>
      </c>
      <c r="F17" s="5">
        <v>14</v>
      </c>
      <c r="G17" s="5">
        <v>0.2</v>
      </c>
      <c r="H17" s="6">
        <v>45410</v>
      </c>
      <c r="I17" s="5">
        <v>300.58999999999997</v>
      </c>
      <c r="J17">
        <f t="shared" si="1"/>
        <v>21041.02</v>
      </c>
      <c r="K17" s="17">
        <f t="shared" ca="1" si="0"/>
        <v>46028.943489351848</v>
      </c>
    </row>
    <row r="18" spans="1:11" ht="14.4" x14ac:dyDescent="0.3">
      <c r="A18" s="5" t="s">
        <v>46</v>
      </c>
      <c r="B18" s="5" t="s">
        <v>16</v>
      </c>
      <c r="C18" s="5" t="s">
        <v>22</v>
      </c>
      <c r="D18" s="5" t="s">
        <v>14</v>
      </c>
      <c r="E18" s="5">
        <v>877.58</v>
      </c>
      <c r="F18" s="5">
        <v>10</v>
      </c>
      <c r="G18" s="5">
        <v>0.15</v>
      </c>
      <c r="H18" s="6">
        <v>45411</v>
      </c>
      <c r="I18" s="5">
        <v>298.38</v>
      </c>
      <c r="J18">
        <f t="shared" si="1"/>
        <v>8775.8000000000011</v>
      </c>
      <c r="K18" s="17">
        <f t="shared" ca="1" si="0"/>
        <v>46028.943489351848</v>
      </c>
    </row>
    <row r="19" spans="1:11" ht="14.4" x14ac:dyDescent="0.3">
      <c r="A19" s="5" t="s">
        <v>30</v>
      </c>
      <c r="B19" s="5" t="s">
        <v>47</v>
      </c>
      <c r="C19" s="5" t="s">
        <v>13</v>
      </c>
      <c r="D19" s="5" t="s">
        <v>14</v>
      </c>
      <c r="E19" s="5">
        <v>636.70000000000005</v>
      </c>
      <c r="F19" s="5">
        <v>4</v>
      </c>
      <c r="G19" s="5">
        <v>0.2</v>
      </c>
      <c r="H19" s="6">
        <v>45411</v>
      </c>
      <c r="I19" s="5">
        <v>203.74</v>
      </c>
      <c r="J19">
        <f t="shared" si="1"/>
        <v>2546.8000000000002</v>
      </c>
      <c r="K19" s="17">
        <f t="shared" ca="1" si="0"/>
        <v>46028.943489351848</v>
      </c>
    </row>
    <row r="20" spans="1:11" ht="14.4" x14ac:dyDescent="0.3">
      <c r="A20" s="5" t="s">
        <v>48</v>
      </c>
      <c r="B20" s="5" t="s">
        <v>49</v>
      </c>
      <c r="C20" s="5" t="s">
        <v>13</v>
      </c>
      <c r="D20" s="5" t="s">
        <v>14</v>
      </c>
      <c r="E20" s="5">
        <v>1506.14</v>
      </c>
      <c r="F20" s="5">
        <v>13</v>
      </c>
      <c r="G20" s="5">
        <v>0.2</v>
      </c>
      <c r="H20" s="6">
        <v>45412</v>
      </c>
      <c r="I20" s="5">
        <v>481.96</v>
      </c>
      <c r="J20">
        <f t="shared" si="1"/>
        <v>19579.82</v>
      </c>
      <c r="K20" s="17">
        <f t="shared" ca="1" si="0"/>
        <v>46028.943489351848</v>
      </c>
    </row>
    <row r="21" spans="1:11" ht="15.75" customHeight="1" x14ac:dyDescent="0.3">
      <c r="A21" s="5" t="s">
        <v>32</v>
      </c>
      <c r="B21" s="5" t="s">
        <v>33</v>
      </c>
      <c r="C21" s="5" t="s">
        <v>36</v>
      </c>
      <c r="D21" s="5" t="s">
        <v>23</v>
      </c>
      <c r="E21" s="5">
        <v>645.02</v>
      </c>
      <c r="F21" s="5">
        <v>4</v>
      </c>
      <c r="G21" s="5">
        <v>0</v>
      </c>
      <c r="H21" s="6">
        <v>45414</v>
      </c>
      <c r="I21" s="5">
        <v>161.26</v>
      </c>
      <c r="J21">
        <f t="shared" si="1"/>
        <v>2580.08</v>
      </c>
      <c r="K21" s="17">
        <f t="shared" ca="1" si="0"/>
        <v>46028.943489351848</v>
      </c>
    </row>
    <row r="22" spans="1:11" ht="15.75" customHeight="1" x14ac:dyDescent="0.3">
      <c r="A22" s="5" t="s">
        <v>27</v>
      </c>
      <c r="B22" s="5" t="s">
        <v>50</v>
      </c>
      <c r="C22" s="5" t="s">
        <v>22</v>
      </c>
      <c r="D22" s="5" t="s">
        <v>17</v>
      </c>
      <c r="E22" s="5">
        <v>953.3</v>
      </c>
      <c r="F22" s="5">
        <v>11</v>
      </c>
      <c r="G22" s="5">
        <v>0</v>
      </c>
      <c r="H22" s="6">
        <v>45415</v>
      </c>
      <c r="I22" s="5">
        <v>476.65</v>
      </c>
      <c r="J22">
        <f t="shared" si="1"/>
        <v>10486.3</v>
      </c>
      <c r="K22" s="17">
        <f t="shared" ca="1" si="0"/>
        <v>46028.943489351848</v>
      </c>
    </row>
    <row r="23" spans="1:11" ht="15.75" customHeight="1" x14ac:dyDescent="0.3">
      <c r="A23" s="5" t="s">
        <v>51</v>
      </c>
      <c r="B23" s="5" t="s">
        <v>16</v>
      </c>
      <c r="C23" s="5" t="s">
        <v>26</v>
      </c>
      <c r="D23" s="5" t="s">
        <v>23</v>
      </c>
      <c r="E23" s="5">
        <v>388.56</v>
      </c>
      <c r="F23" s="5">
        <v>14</v>
      </c>
      <c r="G23" s="5">
        <v>0.15</v>
      </c>
      <c r="H23" s="6">
        <v>45416</v>
      </c>
      <c r="I23" s="5">
        <v>82.57</v>
      </c>
      <c r="J23">
        <f t="shared" si="1"/>
        <v>5439.84</v>
      </c>
      <c r="K23" s="17">
        <f t="shared" ca="1" si="0"/>
        <v>46028.943489351848</v>
      </c>
    </row>
    <row r="24" spans="1:11" ht="15.75" customHeight="1" x14ac:dyDescent="0.3">
      <c r="A24" s="5" t="s">
        <v>11</v>
      </c>
      <c r="B24" s="5" t="s">
        <v>33</v>
      </c>
      <c r="C24" s="5" t="s">
        <v>13</v>
      </c>
      <c r="D24" s="5" t="s">
        <v>14</v>
      </c>
      <c r="E24" s="5">
        <v>743.17</v>
      </c>
      <c r="F24" s="5">
        <v>9</v>
      </c>
      <c r="G24" s="5">
        <v>0</v>
      </c>
      <c r="H24" s="6">
        <v>45416</v>
      </c>
      <c r="I24" s="5">
        <v>297.27</v>
      </c>
      <c r="J24">
        <f t="shared" si="1"/>
        <v>6688.53</v>
      </c>
      <c r="K24" s="17">
        <f t="shared" ca="1" si="0"/>
        <v>46028.943489351848</v>
      </c>
    </row>
    <row r="25" spans="1:11" ht="15.75" customHeight="1" x14ac:dyDescent="0.3">
      <c r="A25" s="5" t="s">
        <v>42</v>
      </c>
      <c r="B25" s="5" t="s">
        <v>33</v>
      </c>
      <c r="C25" s="5" t="s">
        <v>36</v>
      </c>
      <c r="D25" s="5" t="s">
        <v>23</v>
      </c>
      <c r="E25" s="5">
        <v>706.37</v>
      </c>
      <c r="F25" s="5">
        <v>6</v>
      </c>
      <c r="G25" s="5">
        <v>0</v>
      </c>
      <c r="H25" s="6">
        <v>45416</v>
      </c>
      <c r="I25" s="5">
        <v>176.59</v>
      </c>
      <c r="J25">
        <f t="shared" si="1"/>
        <v>4238.22</v>
      </c>
      <c r="K25" s="17">
        <f t="shared" ca="1" si="0"/>
        <v>46028.943489351848</v>
      </c>
    </row>
    <row r="26" spans="1:11" ht="15.75" customHeight="1" x14ac:dyDescent="0.3">
      <c r="A26" s="5" t="s">
        <v>15</v>
      </c>
      <c r="B26" s="5" t="s">
        <v>33</v>
      </c>
      <c r="C26" s="5" t="s">
        <v>36</v>
      </c>
      <c r="D26" s="5" t="s">
        <v>41</v>
      </c>
      <c r="E26" s="5">
        <v>925.31</v>
      </c>
      <c r="F26" s="5">
        <v>8</v>
      </c>
      <c r="G26" s="5">
        <v>0.1</v>
      </c>
      <c r="H26" s="6">
        <v>45418</v>
      </c>
      <c r="I26" s="5">
        <v>374.75</v>
      </c>
      <c r="J26">
        <f t="shared" si="1"/>
        <v>7402.48</v>
      </c>
      <c r="K26" s="17">
        <f t="shared" ca="1" si="0"/>
        <v>46028.943489351848</v>
      </c>
    </row>
    <row r="27" spans="1:11" ht="15.75" customHeight="1" x14ac:dyDescent="0.3">
      <c r="A27" s="5" t="s">
        <v>37</v>
      </c>
      <c r="B27" s="5" t="s">
        <v>52</v>
      </c>
      <c r="C27" s="5" t="s">
        <v>22</v>
      </c>
      <c r="D27" s="5" t="s">
        <v>23</v>
      </c>
      <c r="E27" s="5">
        <v>1173.1199999999999</v>
      </c>
      <c r="F27" s="5">
        <v>18</v>
      </c>
      <c r="G27" s="5">
        <v>0</v>
      </c>
      <c r="H27" s="6">
        <v>45418</v>
      </c>
      <c r="I27" s="5">
        <v>293.27999999999997</v>
      </c>
      <c r="J27">
        <f t="shared" si="1"/>
        <v>21116.159999999996</v>
      </c>
      <c r="K27" s="17">
        <f t="shared" ca="1" si="0"/>
        <v>46028.943489351848</v>
      </c>
    </row>
    <row r="28" spans="1:11" ht="15.75" customHeight="1" x14ac:dyDescent="0.3">
      <c r="A28" s="5" t="s">
        <v>24</v>
      </c>
      <c r="B28" s="5" t="s">
        <v>53</v>
      </c>
      <c r="C28" s="5" t="s">
        <v>26</v>
      </c>
      <c r="D28" s="5" t="s">
        <v>29</v>
      </c>
      <c r="E28" s="5">
        <v>675.54</v>
      </c>
      <c r="F28" s="5">
        <v>17</v>
      </c>
      <c r="G28" s="5">
        <v>0</v>
      </c>
      <c r="H28" s="6">
        <v>45420</v>
      </c>
      <c r="I28" s="5">
        <v>236.44</v>
      </c>
      <c r="J28">
        <f t="shared" si="1"/>
        <v>11484.18</v>
      </c>
      <c r="K28" s="17">
        <f t="shared" ca="1" si="0"/>
        <v>46028.943489351848</v>
      </c>
    </row>
    <row r="29" spans="1:11" ht="15.75" customHeight="1" x14ac:dyDescent="0.3">
      <c r="A29" s="5" t="s">
        <v>27</v>
      </c>
      <c r="B29" s="5" t="s">
        <v>16</v>
      </c>
      <c r="C29" s="5" t="s">
        <v>36</v>
      </c>
      <c r="D29" s="5" t="s">
        <v>14</v>
      </c>
      <c r="E29" s="5">
        <v>939.09</v>
      </c>
      <c r="F29" s="5">
        <v>2</v>
      </c>
      <c r="G29" s="5">
        <v>0.05</v>
      </c>
      <c r="H29" s="6">
        <v>45422</v>
      </c>
      <c r="I29" s="5">
        <v>356.85</v>
      </c>
      <c r="J29">
        <f t="shared" si="1"/>
        <v>1878.18</v>
      </c>
      <c r="K29" s="17">
        <f t="shared" ca="1" si="0"/>
        <v>46028.943489351848</v>
      </c>
    </row>
    <row r="30" spans="1:11" ht="15.75" customHeight="1" x14ac:dyDescent="0.3">
      <c r="A30" s="5" t="s">
        <v>54</v>
      </c>
      <c r="B30" s="5" t="s">
        <v>55</v>
      </c>
      <c r="C30" s="5" t="s">
        <v>20</v>
      </c>
      <c r="D30" s="5" t="s">
        <v>41</v>
      </c>
      <c r="E30" s="5">
        <v>983.34</v>
      </c>
      <c r="F30" s="5">
        <v>19</v>
      </c>
      <c r="G30" s="5">
        <v>0.1</v>
      </c>
      <c r="H30" s="6">
        <v>45426</v>
      </c>
      <c r="I30" s="5">
        <v>398.25</v>
      </c>
      <c r="J30">
        <f t="shared" si="1"/>
        <v>18683.46</v>
      </c>
      <c r="K30" s="17">
        <f t="shared" ca="1" si="0"/>
        <v>46028.943489351848</v>
      </c>
    </row>
    <row r="31" spans="1:11" ht="15.75" customHeight="1" x14ac:dyDescent="0.3">
      <c r="A31" s="5" t="s">
        <v>54</v>
      </c>
      <c r="B31" s="5" t="s">
        <v>25</v>
      </c>
      <c r="C31" s="5" t="s">
        <v>22</v>
      </c>
      <c r="D31" s="5" t="s">
        <v>23</v>
      </c>
      <c r="E31" s="5">
        <v>801.21</v>
      </c>
      <c r="F31" s="5">
        <v>3</v>
      </c>
      <c r="G31" s="5">
        <v>0.2</v>
      </c>
      <c r="H31" s="6">
        <v>45426</v>
      </c>
      <c r="I31" s="5">
        <v>160.24</v>
      </c>
      <c r="J31">
        <f t="shared" si="1"/>
        <v>2403.63</v>
      </c>
      <c r="K31" s="17">
        <f t="shared" ca="1" si="0"/>
        <v>46028.943489351848</v>
      </c>
    </row>
    <row r="32" spans="1:11" ht="15.75" customHeight="1" x14ac:dyDescent="0.3">
      <c r="A32" s="5" t="s">
        <v>56</v>
      </c>
      <c r="B32" s="5" t="s">
        <v>57</v>
      </c>
      <c r="C32" s="5" t="s">
        <v>26</v>
      </c>
      <c r="D32" s="5" t="s">
        <v>23</v>
      </c>
      <c r="E32" s="5">
        <v>1450.71</v>
      </c>
      <c r="F32" s="5">
        <v>5</v>
      </c>
      <c r="G32" s="5">
        <v>0.1</v>
      </c>
      <c r="H32" s="6">
        <v>45427</v>
      </c>
      <c r="I32" s="5">
        <v>326.41000000000003</v>
      </c>
      <c r="J32">
        <f t="shared" si="1"/>
        <v>7253.55</v>
      </c>
      <c r="K32" s="17">
        <f t="shared" ca="1" si="0"/>
        <v>46028.943489351848</v>
      </c>
    </row>
    <row r="33" spans="1:11" ht="15.75" customHeight="1" x14ac:dyDescent="0.3">
      <c r="A33" s="5" t="s">
        <v>51</v>
      </c>
      <c r="B33" s="5" t="s">
        <v>58</v>
      </c>
      <c r="C33" s="5" t="s">
        <v>36</v>
      </c>
      <c r="D33" s="5" t="s">
        <v>14</v>
      </c>
      <c r="E33" s="5">
        <v>1023.21</v>
      </c>
      <c r="F33" s="5">
        <v>18</v>
      </c>
      <c r="G33" s="5">
        <v>0.05</v>
      </c>
      <c r="H33" s="6">
        <v>45428</v>
      </c>
      <c r="I33" s="5">
        <v>388.82</v>
      </c>
      <c r="J33">
        <f t="shared" si="1"/>
        <v>18417.78</v>
      </c>
      <c r="K33" s="17">
        <f t="shared" ca="1" si="0"/>
        <v>46028.943489351848</v>
      </c>
    </row>
    <row r="34" spans="1:11" ht="15.75" customHeight="1" x14ac:dyDescent="0.3">
      <c r="A34" s="5" t="s">
        <v>30</v>
      </c>
      <c r="B34" s="5" t="s">
        <v>49</v>
      </c>
      <c r="C34" s="5" t="s">
        <v>13</v>
      </c>
      <c r="D34" s="5" t="s">
        <v>29</v>
      </c>
      <c r="E34" s="5">
        <v>853.72</v>
      </c>
      <c r="F34" s="5">
        <v>5</v>
      </c>
      <c r="G34" s="5">
        <v>0.15</v>
      </c>
      <c r="H34" s="6">
        <v>45428</v>
      </c>
      <c r="I34" s="5">
        <v>253.98</v>
      </c>
      <c r="J34">
        <f t="shared" si="1"/>
        <v>4268.6000000000004</v>
      </c>
      <c r="K34" s="17">
        <f t="shared" ca="1" si="0"/>
        <v>46028.943489351848</v>
      </c>
    </row>
    <row r="35" spans="1:11" ht="15.75" customHeight="1" x14ac:dyDescent="0.3">
      <c r="A35" s="5" t="s">
        <v>59</v>
      </c>
      <c r="B35" s="5" t="s">
        <v>45</v>
      </c>
      <c r="C35" s="5" t="s">
        <v>22</v>
      </c>
      <c r="D35" s="5" t="s">
        <v>23</v>
      </c>
      <c r="E35" s="5">
        <v>967.89</v>
      </c>
      <c r="F35" s="5">
        <v>10</v>
      </c>
      <c r="G35" s="5">
        <v>0.1</v>
      </c>
      <c r="H35" s="6">
        <v>45429</v>
      </c>
      <c r="I35" s="5">
        <v>217.78</v>
      </c>
      <c r="J35">
        <f t="shared" si="1"/>
        <v>9678.9</v>
      </c>
      <c r="K35" s="17">
        <f t="shared" ca="1" si="0"/>
        <v>46028.943489351848</v>
      </c>
    </row>
    <row r="36" spans="1:11" ht="15.75" customHeight="1" x14ac:dyDescent="0.3">
      <c r="A36" s="5" t="s">
        <v>60</v>
      </c>
      <c r="B36" s="5" t="s">
        <v>55</v>
      </c>
      <c r="C36" s="5" t="s">
        <v>26</v>
      </c>
      <c r="D36" s="5" t="s">
        <v>41</v>
      </c>
      <c r="E36" s="5">
        <v>1200.9000000000001</v>
      </c>
      <c r="F36" s="5">
        <v>14</v>
      </c>
      <c r="G36" s="5">
        <v>0.05</v>
      </c>
      <c r="H36" s="6">
        <v>45429</v>
      </c>
      <c r="I36" s="5">
        <v>513.38</v>
      </c>
      <c r="J36">
        <f t="shared" si="1"/>
        <v>16812.600000000002</v>
      </c>
      <c r="K36" s="17">
        <f t="shared" ca="1" si="0"/>
        <v>46028.943489351848</v>
      </c>
    </row>
    <row r="37" spans="1:11" ht="15.75" customHeight="1" x14ac:dyDescent="0.3">
      <c r="A37" s="5" t="s">
        <v>15</v>
      </c>
      <c r="B37" s="5" t="s">
        <v>28</v>
      </c>
      <c r="C37" s="5" t="s">
        <v>13</v>
      </c>
      <c r="D37" s="5" t="s">
        <v>14</v>
      </c>
      <c r="E37" s="5">
        <v>472.38</v>
      </c>
      <c r="F37" s="5">
        <v>12</v>
      </c>
      <c r="G37" s="5">
        <v>0.2</v>
      </c>
      <c r="H37" s="6">
        <v>45429</v>
      </c>
      <c r="I37" s="5">
        <v>151.16</v>
      </c>
      <c r="J37">
        <f t="shared" si="1"/>
        <v>5668.5599999999995</v>
      </c>
      <c r="K37" s="17">
        <f t="shared" ca="1" si="0"/>
        <v>46028.943489351848</v>
      </c>
    </row>
    <row r="38" spans="1:11" ht="15.75" customHeight="1" x14ac:dyDescent="0.3">
      <c r="A38" s="5" t="s">
        <v>11</v>
      </c>
      <c r="B38" s="5" t="s">
        <v>57</v>
      </c>
      <c r="C38" s="5" t="s">
        <v>20</v>
      </c>
      <c r="D38" s="5" t="s">
        <v>41</v>
      </c>
      <c r="E38" s="5">
        <v>840.92</v>
      </c>
      <c r="F38" s="5">
        <v>9</v>
      </c>
      <c r="G38" s="5">
        <v>0.05</v>
      </c>
      <c r="H38" s="6">
        <v>45429</v>
      </c>
      <c r="I38" s="5">
        <v>359.49</v>
      </c>
      <c r="J38">
        <f t="shared" si="1"/>
        <v>7568.28</v>
      </c>
      <c r="K38" s="17">
        <f t="shared" ca="1" si="0"/>
        <v>46028.943489351848</v>
      </c>
    </row>
    <row r="39" spans="1:11" ht="15.75" customHeight="1" x14ac:dyDescent="0.3">
      <c r="A39" s="5" t="s">
        <v>54</v>
      </c>
      <c r="B39" s="5" t="s">
        <v>50</v>
      </c>
      <c r="C39" s="5" t="s">
        <v>36</v>
      </c>
      <c r="D39" s="5" t="s">
        <v>29</v>
      </c>
      <c r="E39" s="5">
        <v>1410.06</v>
      </c>
      <c r="F39" s="5">
        <v>11</v>
      </c>
      <c r="G39" s="5">
        <v>0.05</v>
      </c>
      <c r="H39" s="6">
        <v>45434</v>
      </c>
      <c r="I39" s="5">
        <v>468.84</v>
      </c>
      <c r="J39">
        <f t="shared" si="1"/>
        <v>15510.66</v>
      </c>
      <c r="K39" s="17">
        <f t="shared" ca="1" si="0"/>
        <v>46028.943489351848</v>
      </c>
    </row>
    <row r="40" spans="1:11" ht="15.75" customHeight="1" x14ac:dyDescent="0.3">
      <c r="A40" s="5" t="s">
        <v>46</v>
      </c>
      <c r="B40" s="5" t="s">
        <v>61</v>
      </c>
      <c r="C40" s="5" t="s">
        <v>36</v>
      </c>
      <c r="D40" s="5" t="s">
        <v>29</v>
      </c>
      <c r="E40" s="5">
        <v>773.09</v>
      </c>
      <c r="F40" s="5">
        <v>13</v>
      </c>
      <c r="G40" s="5">
        <v>0.15</v>
      </c>
      <c r="H40" s="6">
        <v>45434</v>
      </c>
      <c r="I40" s="5">
        <v>229.99</v>
      </c>
      <c r="J40">
        <f t="shared" si="1"/>
        <v>10050.17</v>
      </c>
      <c r="K40" s="17">
        <f t="shared" ca="1" si="0"/>
        <v>46028.943489351848</v>
      </c>
    </row>
    <row r="41" spans="1:11" ht="15.75" customHeight="1" x14ac:dyDescent="0.3">
      <c r="A41" s="5" t="s">
        <v>62</v>
      </c>
      <c r="B41" s="5" t="s">
        <v>63</v>
      </c>
      <c r="C41" s="5" t="s">
        <v>20</v>
      </c>
      <c r="D41" s="5" t="s">
        <v>14</v>
      </c>
      <c r="E41" s="5">
        <v>580.42999999999995</v>
      </c>
      <c r="F41" s="5">
        <v>19</v>
      </c>
      <c r="G41" s="5">
        <v>0.15</v>
      </c>
      <c r="H41" s="6">
        <v>45435</v>
      </c>
      <c r="I41" s="5">
        <v>197.35</v>
      </c>
      <c r="J41">
        <f t="shared" si="1"/>
        <v>11028.169999999998</v>
      </c>
      <c r="K41" s="17">
        <f t="shared" ca="1" si="0"/>
        <v>46028.943489351848</v>
      </c>
    </row>
    <row r="42" spans="1:11" ht="15.75" customHeight="1" x14ac:dyDescent="0.3">
      <c r="A42" s="5" t="s">
        <v>21</v>
      </c>
      <c r="B42" s="5" t="s">
        <v>44</v>
      </c>
      <c r="C42" s="5" t="s">
        <v>22</v>
      </c>
      <c r="D42" s="5" t="s">
        <v>14</v>
      </c>
      <c r="E42" s="5">
        <v>1151.21</v>
      </c>
      <c r="F42" s="5">
        <v>15</v>
      </c>
      <c r="G42" s="5">
        <v>0.1</v>
      </c>
      <c r="H42" s="6">
        <v>45445</v>
      </c>
      <c r="I42" s="5">
        <v>414.44</v>
      </c>
      <c r="J42">
        <f t="shared" si="1"/>
        <v>17268.150000000001</v>
      </c>
      <c r="K42" s="17">
        <f t="shared" ca="1" si="0"/>
        <v>46028.943489351848</v>
      </c>
    </row>
    <row r="43" spans="1:11" ht="15.75" customHeight="1" x14ac:dyDescent="0.3">
      <c r="A43" s="5" t="s">
        <v>54</v>
      </c>
      <c r="B43" s="5" t="s">
        <v>25</v>
      </c>
      <c r="C43" s="5" t="s">
        <v>36</v>
      </c>
      <c r="D43" s="5" t="s">
        <v>41</v>
      </c>
      <c r="E43" s="5">
        <v>1025.98</v>
      </c>
      <c r="F43" s="5">
        <v>5</v>
      </c>
      <c r="G43" s="5">
        <v>0.2</v>
      </c>
      <c r="H43" s="6">
        <v>45447</v>
      </c>
      <c r="I43" s="5">
        <v>369.35</v>
      </c>
      <c r="J43">
        <f t="shared" si="1"/>
        <v>5129.8999999999996</v>
      </c>
      <c r="K43" s="17">
        <f t="shared" ca="1" si="0"/>
        <v>46028.943489351848</v>
      </c>
    </row>
    <row r="44" spans="1:11" ht="15.75" customHeight="1" x14ac:dyDescent="0.3">
      <c r="A44" s="5" t="s">
        <v>42</v>
      </c>
      <c r="B44" s="5" t="s">
        <v>58</v>
      </c>
      <c r="C44" s="5" t="s">
        <v>20</v>
      </c>
      <c r="D44" s="5" t="s">
        <v>41</v>
      </c>
      <c r="E44" s="5">
        <v>556.41999999999996</v>
      </c>
      <c r="F44" s="5">
        <v>11</v>
      </c>
      <c r="G44" s="5">
        <v>0.15</v>
      </c>
      <c r="H44" s="6">
        <v>45447</v>
      </c>
      <c r="I44" s="5">
        <v>212.83</v>
      </c>
      <c r="J44">
        <f t="shared" si="1"/>
        <v>6120.62</v>
      </c>
      <c r="K44" s="17">
        <f t="shared" ca="1" si="0"/>
        <v>46028.943489351848</v>
      </c>
    </row>
    <row r="45" spans="1:11" ht="15.75" customHeight="1" x14ac:dyDescent="0.3">
      <c r="A45" s="5" t="s">
        <v>59</v>
      </c>
      <c r="B45" s="5" t="s">
        <v>25</v>
      </c>
      <c r="C45" s="5" t="s">
        <v>36</v>
      </c>
      <c r="D45" s="5" t="s">
        <v>14</v>
      </c>
      <c r="E45" s="5">
        <v>840.85</v>
      </c>
      <c r="F45" s="5">
        <v>19</v>
      </c>
      <c r="G45" s="5">
        <v>0.1</v>
      </c>
      <c r="H45" s="6">
        <v>45448</v>
      </c>
      <c r="I45" s="5">
        <v>302.70999999999998</v>
      </c>
      <c r="J45">
        <f t="shared" si="1"/>
        <v>15976.15</v>
      </c>
      <c r="K45" s="17">
        <f t="shared" ca="1" si="0"/>
        <v>46028.943489351848</v>
      </c>
    </row>
    <row r="46" spans="1:11" ht="15.75" customHeight="1" x14ac:dyDescent="0.3">
      <c r="A46" s="5" t="s">
        <v>32</v>
      </c>
      <c r="B46" s="5" t="s">
        <v>63</v>
      </c>
      <c r="C46" s="5" t="s">
        <v>26</v>
      </c>
      <c r="D46" s="5" t="s">
        <v>29</v>
      </c>
      <c r="E46" s="5">
        <v>1227.25</v>
      </c>
      <c r="F46" s="5">
        <v>12</v>
      </c>
      <c r="G46" s="5">
        <v>0.15</v>
      </c>
      <c r="H46" s="6">
        <v>45448</v>
      </c>
      <c r="I46" s="5">
        <v>365.11</v>
      </c>
      <c r="J46">
        <f t="shared" si="1"/>
        <v>14727</v>
      </c>
      <c r="K46" s="17">
        <f t="shared" ca="1" si="0"/>
        <v>46028.943489351848</v>
      </c>
    </row>
    <row r="47" spans="1:11" ht="15.75" customHeight="1" x14ac:dyDescent="0.3">
      <c r="A47" s="5" t="s">
        <v>18</v>
      </c>
      <c r="B47" s="5" t="s">
        <v>64</v>
      </c>
      <c r="C47" s="5" t="s">
        <v>36</v>
      </c>
      <c r="D47" s="5" t="s">
        <v>23</v>
      </c>
      <c r="E47" s="5">
        <v>856.7</v>
      </c>
      <c r="F47" s="5">
        <v>2</v>
      </c>
      <c r="G47" s="5">
        <v>0</v>
      </c>
      <c r="H47" s="6">
        <v>45449</v>
      </c>
      <c r="I47" s="5">
        <v>214.18</v>
      </c>
      <c r="J47">
        <f t="shared" si="1"/>
        <v>1713.4</v>
      </c>
      <c r="K47" s="17">
        <f t="shared" ca="1" si="0"/>
        <v>46028.943489351848</v>
      </c>
    </row>
    <row r="48" spans="1:11" ht="15.75" customHeight="1" x14ac:dyDescent="0.3">
      <c r="A48" s="5" t="s">
        <v>56</v>
      </c>
      <c r="B48" s="5" t="s">
        <v>58</v>
      </c>
      <c r="C48" s="5" t="s">
        <v>36</v>
      </c>
      <c r="D48" s="5" t="s">
        <v>41</v>
      </c>
      <c r="E48" s="5">
        <v>1225.42</v>
      </c>
      <c r="F48" s="5">
        <v>8</v>
      </c>
      <c r="G48" s="5">
        <v>0.15</v>
      </c>
      <c r="H48" s="6">
        <v>45449</v>
      </c>
      <c r="I48" s="5">
        <v>468.72</v>
      </c>
      <c r="J48">
        <f t="shared" si="1"/>
        <v>9803.36</v>
      </c>
      <c r="K48" s="17">
        <f t="shared" ca="1" si="0"/>
        <v>46028.943489351848</v>
      </c>
    </row>
    <row r="49" spans="1:11" ht="15.75" customHeight="1" x14ac:dyDescent="0.3">
      <c r="A49" s="5" t="s">
        <v>65</v>
      </c>
      <c r="B49" s="5" t="s">
        <v>33</v>
      </c>
      <c r="C49" s="5" t="s">
        <v>26</v>
      </c>
      <c r="D49" s="5" t="s">
        <v>41</v>
      </c>
      <c r="E49" s="5">
        <v>1001.57</v>
      </c>
      <c r="F49" s="5">
        <v>12</v>
      </c>
      <c r="G49" s="5">
        <v>0</v>
      </c>
      <c r="H49" s="6">
        <v>45450</v>
      </c>
      <c r="I49" s="5">
        <v>450.71</v>
      </c>
      <c r="J49">
        <f t="shared" si="1"/>
        <v>12018.84</v>
      </c>
      <c r="K49" s="17">
        <f t="shared" ca="1" si="0"/>
        <v>46028.943489351848</v>
      </c>
    </row>
    <row r="50" spans="1:11" ht="15.75" customHeight="1" x14ac:dyDescent="0.3">
      <c r="A50" s="5" t="s">
        <v>59</v>
      </c>
      <c r="B50" s="5" t="s">
        <v>28</v>
      </c>
      <c r="C50" s="5" t="s">
        <v>20</v>
      </c>
      <c r="D50" s="5" t="s">
        <v>29</v>
      </c>
      <c r="E50" s="5">
        <v>1186.8499999999999</v>
      </c>
      <c r="F50" s="5">
        <v>19</v>
      </c>
      <c r="G50" s="5">
        <v>0.2</v>
      </c>
      <c r="H50" s="6">
        <v>45451</v>
      </c>
      <c r="I50" s="5">
        <v>332.32</v>
      </c>
      <c r="J50">
        <f t="shared" si="1"/>
        <v>22550.149999999998</v>
      </c>
      <c r="K50" s="17">
        <f t="shared" ca="1" si="0"/>
        <v>46028.943489351848</v>
      </c>
    </row>
    <row r="51" spans="1:11" ht="15.75" customHeight="1" x14ac:dyDescent="0.3">
      <c r="A51" s="5" t="s">
        <v>46</v>
      </c>
      <c r="B51" s="5" t="s">
        <v>53</v>
      </c>
      <c r="C51" s="5" t="s">
        <v>22</v>
      </c>
      <c r="D51" s="5" t="s">
        <v>23</v>
      </c>
      <c r="E51" s="5">
        <v>775.45</v>
      </c>
      <c r="F51" s="5">
        <v>6</v>
      </c>
      <c r="G51" s="5">
        <v>0.1</v>
      </c>
      <c r="H51" s="6">
        <v>45457</v>
      </c>
      <c r="I51" s="5">
        <v>174.48</v>
      </c>
      <c r="J51">
        <f t="shared" si="1"/>
        <v>4652.7000000000007</v>
      </c>
      <c r="K51" s="17">
        <f t="shared" ca="1" si="0"/>
        <v>46028.943489351848</v>
      </c>
    </row>
    <row r="52" spans="1:11" ht="15.75" customHeight="1" x14ac:dyDescent="0.3">
      <c r="A52" s="5" t="s">
        <v>27</v>
      </c>
      <c r="B52" s="5" t="s">
        <v>35</v>
      </c>
      <c r="C52" s="5" t="s">
        <v>22</v>
      </c>
      <c r="D52" s="5" t="s">
        <v>23</v>
      </c>
      <c r="E52" s="5">
        <v>1021.47</v>
      </c>
      <c r="F52" s="5">
        <v>6</v>
      </c>
      <c r="G52" s="5">
        <v>0.05</v>
      </c>
      <c r="H52" s="6">
        <v>45461</v>
      </c>
      <c r="I52" s="5">
        <v>242.6</v>
      </c>
      <c r="J52">
        <f t="shared" si="1"/>
        <v>6128.82</v>
      </c>
      <c r="K52" s="17">
        <f t="shared" ca="1" si="0"/>
        <v>46028.943489351848</v>
      </c>
    </row>
    <row r="53" spans="1:11" ht="15.75" customHeight="1" x14ac:dyDescent="0.3">
      <c r="A53" s="5" t="s">
        <v>60</v>
      </c>
      <c r="B53" s="5" t="s">
        <v>25</v>
      </c>
      <c r="C53" s="5" t="s">
        <v>22</v>
      </c>
      <c r="D53" s="5" t="s">
        <v>17</v>
      </c>
      <c r="E53" s="5">
        <v>1226.6199999999999</v>
      </c>
      <c r="F53" s="5">
        <v>7</v>
      </c>
      <c r="G53" s="5">
        <v>0.1</v>
      </c>
      <c r="H53" s="6">
        <v>45463</v>
      </c>
      <c r="I53" s="5">
        <v>551.98</v>
      </c>
      <c r="J53">
        <f t="shared" si="1"/>
        <v>8586.34</v>
      </c>
      <c r="K53" s="17">
        <f t="shared" ca="1" si="0"/>
        <v>46028.943489351848</v>
      </c>
    </row>
    <row r="54" spans="1:11" ht="15.75" customHeight="1" x14ac:dyDescent="0.3">
      <c r="A54" s="5" t="s">
        <v>24</v>
      </c>
      <c r="B54" s="5" t="s">
        <v>66</v>
      </c>
      <c r="C54" s="5" t="s">
        <v>22</v>
      </c>
      <c r="D54" s="5" t="s">
        <v>29</v>
      </c>
      <c r="E54" s="5">
        <v>1086.93</v>
      </c>
      <c r="F54" s="5">
        <v>2</v>
      </c>
      <c r="G54" s="5">
        <v>0</v>
      </c>
      <c r="H54" s="6">
        <v>45464</v>
      </c>
      <c r="I54" s="5">
        <v>380.43</v>
      </c>
      <c r="J54">
        <f t="shared" si="1"/>
        <v>2173.86</v>
      </c>
      <c r="K54" s="17">
        <f t="shared" ca="1" si="0"/>
        <v>46028.943489351848</v>
      </c>
    </row>
    <row r="55" spans="1:11" ht="15.75" customHeight="1" x14ac:dyDescent="0.3">
      <c r="A55" s="5" t="s">
        <v>67</v>
      </c>
      <c r="B55" s="5" t="s">
        <v>50</v>
      </c>
      <c r="C55" s="5" t="s">
        <v>13</v>
      </c>
      <c r="D55" s="5" t="s">
        <v>14</v>
      </c>
      <c r="E55" s="5">
        <v>942.9</v>
      </c>
      <c r="F55" s="5">
        <v>18</v>
      </c>
      <c r="G55" s="5">
        <v>0.1</v>
      </c>
      <c r="H55" s="6">
        <v>45466</v>
      </c>
      <c r="I55" s="5">
        <v>339.44</v>
      </c>
      <c r="J55">
        <f t="shared" si="1"/>
        <v>16972.2</v>
      </c>
      <c r="K55" s="17">
        <f t="shared" ca="1" si="0"/>
        <v>46028.943489351848</v>
      </c>
    </row>
    <row r="56" spans="1:11" ht="15.75" customHeight="1" x14ac:dyDescent="0.3">
      <c r="A56" s="5" t="s">
        <v>34</v>
      </c>
      <c r="B56" s="5" t="s">
        <v>40</v>
      </c>
      <c r="C56" s="5" t="s">
        <v>26</v>
      </c>
      <c r="D56" s="5" t="s">
        <v>23</v>
      </c>
      <c r="E56" s="5">
        <v>818.8</v>
      </c>
      <c r="F56" s="5">
        <v>15</v>
      </c>
      <c r="G56" s="5">
        <v>0.15</v>
      </c>
      <c r="H56" s="6">
        <v>45468</v>
      </c>
      <c r="I56" s="5">
        <v>173.99</v>
      </c>
      <c r="J56">
        <f t="shared" si="1"/>
        <v>12282</v>
      </c>
      <c r="K56" s="17">
        <f t="shared" ca="1" si="0"/>
        <v>46028.943489351848</v>
      </c>
    </row>
    <row r="57" spans="1:11" ht="15.75" customHeight="1" x14ac:dyDescent="0.3">
      <c r="A57" s="5" t="s">
        <v>21</v>
      </c>
      <c r="B57" s="5" t="s">
        <v>16</v>
      </c>
      <c r="C57" s="5" t="s">
        <v>22</v>
      </c>
      <c r="D57" s="5" t="s">
        <v>29</v>
      </c>
      <c r="E57" s="5">
        <v>919.04</v>
      </c>
      <c r="F57" s="5">
        <v>10</v>
      </c>
      <c r="G57" s="5">
        <v>0.2</v>
      </c>
      <c r="H57" s="6">
        <v>45468</v>
      </c>
      <c r="I57" s="5">
        <v>257.33</v>
      </c>
      <c r="J57">
        <f t="shared" si="1"/>
        <v>9190.4</v>
      </c>
      <c r="K57" s="17">
        <f t="shared" ca="1" si="0"/>
        <v>46028.943489351848</v>
      </c>
    </row>
    <row r="58" spans="1:11" ht="15.75" customHeight="1" x14ac:dyDescent="0.3">
      <c r="A58" s="5" t="s">
        <v>24</v>
      </c>
      <c r="B58" s="5" t="s">
        <v>68</v>
      </c>
      <c r="C58" s="5" t="s">
        <v>36</v>
      </c>
      <c r="D58" s="5" t="s">
        <v>14</v>
      </c>
      <c r="E58" s="5">
        <v>973.26</v>
      </c>
      <c r="F58" s="5">
        <v>11</v>
      </c>
      <c r="G58" s="5">
        <v>0</v>
      </c>
      <c r="H58" s="6">
        <v>45470</v>
      </c>
      <c r="I58" s="5">
        <v>389.3</v>
      </c>
      <c r="J58">
        <f t="shared" si="1"/>
        <v>10705.86</v>
      </c>
      <c r="K58" s="17">
        <f t="shared" ca="1" si="0"/>
        <v>46028.943489351848</v>
      </c>
    </row>
    <row r="59" spans="1:11" ht="15.75" customHeight="1" x14ac:dyDescent="0.3">
      <c r="A59" s="5" t="s">
        <v>43</v>
      </c>
      <c r="B59" s="5" t="s">
        <v>66</v>
      </c>
      <c r="C59" s="5" t="s">
        <v>26</v>
      </c>
      <c r="D59" s="5" t="s">
        <v>23</v>
      </c>
      <c r="E59" s="5">
        <v>741.61</v>
      </c>
      <c r="F59" s="5">
        <v>1</v>
      </c>
      <c r="G59" s="5">
        <v>0.2</v>
      </c>
      <c r="H59" s="6">
        <v>45471</v>
      </c>
      <c r="I59" s="5">
        <v>148.32</v>
      </c>
      <c r="J59">
        <f t="shared" si="1"/>
        <v>741.61</v>
      </c>
      <c r="K59" s="17">
        <f t="shared" ca="1" si="0"/>
        <v>46028.943489351848</v>
      </c>
    </row>
    <row r="60" spans="1:11" ht="15.75" customHeight="1" x14ac:dyDescent="0.3">
      <c r="A60" s="5" t="s">
        <v>69</v>
      </c>
      <c r="B60" s="5" t="s">
        <v>40</v>
      </c>
      <c r="C60" s="5" t="s">
        <v>26</v>
      </c>
      <c r="D60" s="5" t="s">
        <v>14</v>
      </c>
      <c r="E60" s="5">
        <v>1248.82</v>
      </c>
      <c r="F60" s="5">
        <v>2</v>
      </c>
      <c r="G60" s="5">
        <v>0.1</v>
      </c>
      <c r="H60" s="6">
        <v>45473</v>
      </c>
      <c r="I60" s="5">
        <v>449.58</v>
      </c>
      <c r="J60">
        <f t="shared" si="1"/>
        <v>2497.64</v>
      </c>
      <c r="K60" s="17">
        <f t="shared" ca="1" si="0"/>
        <v>46028.943489351848</v>
      </c>
    </row>
    <row r="61" spans="1:11" ht="15.75" customHeight="1" x14ac:dyDescent="0.3">
      <c r="A61" s="5" t="s">
        <v>15</v>
      </c>
      <c r="B61" s="5" t="s">
        <v>61</v>
      </c>
      <c r="C61" s="5" t="s">
        <v>13</v>
      </c>
      <c r="D61" s="5" t="s">
        <v>17</v>
      </c>
      <c r="E61" s="5">
        <v>1360.36</v>
      </c>
      <c r="F61" s="5">
        <v>17</v>
      </c>
      <c r="G61" s="5">
        <v>0</v>
      </c>
      <c r="H61" s="6">
        <v>45473</v>
      </c>
      <c r="I61" s="5">
        <v>680.18</v>
      </c>
      <c r="J61">
        <f t="shared" si="1"/>
        <v>23126.12</v>
      </c>
      <c r="K61" s="17">
        <f t="shared" ca="1" si="0"/>
        <v>46028.943489351848</v>
      </c>
    </row>
    <row r="62" spans="1:11" ht="15.75" customHeight="1" x14ac:dyDescent="0.3">
      <c r="A62" s="5" t="s">
        <v>59</v>
      </c>
      <c r="B62" s="5" t="s">
        <v>33</v>
      </c>
      <c r="C62" s="5" t="s">
        <v>20</v>
      </c>
      <c r="D62" s="5" t="s">
        <v>14</v>
      </c>
      <c r="E62" s="5">
        <v>1383.3</v>
      </c>
      <c r="F62" s="5">
        <v>8</v>
      </c>
      <c r="G62" s="5">
        <v>0.1</v>
      </c>
      <c r="H62" s="6">
        <v>45478</v>
      </c>
      <c r="I62" s="5">
        <v>497.99</v>
      </c>
      <c r="J62">
        <f t="shared" si="1"/>
        <v>11066.4</v>
      </c>
      <c r="K62" s="17">
        <f t="shared" ca="1" si="0"/>
        <v>46028.943489351848</v>
      </c>
    </row>
    <row r="63" spans="1:11" ht="15.75" customHeight="1" x14ac:dyDescent="0.3">
      <c r="A63" s="5" t="s">
        <v>37</v>
      </c>
      <c r="B63" s="5" t="s">
        <v>57</v>
      </c>
      <c r="C63" s="5" t="s">
        <v>36</v>
      </c>
      <c r="D63" s="5" t="s">
        <v>41</v>
      </c>
      <c r="E63" s="5">
        <v>488.99</v>
      </c>
      <c r="F63" s="5">
        <v>9</v>
      </c>
      <c r="G63" s="5">
        <v>0</v>
      </c>
      <c r="H63" s="6">
        <v>45479</v>
      </c>
      <c r="I63" s="5">
        <v>220.05</v>
      </c>
      <c r="J63">
        <f t="shared" si="1"/>
        <v>4400.91</v>
      </c>
      <c r="K63" s="17">
        <f t="shared" ca="1" si="0"/>
        <v>46028.943489351848</v>
      </c>
    </row>
    <row r="64" spans="1:11" ht="15.75" customHeight="1" x14ac:dyDescent="0.3">
      <c r="A64" s="5" t="s">
        <v>32</v>
      </c>
      <c r="B64" s="5" t="s">
        <v>33</v>
      </c>
      <c r="C64" s="5" t="s">
        <v>20</v>
      </c>
      <c r="D64" s="5" t="s">
        <v>29</v>
      </c>
      <c r="E64" s="5">
        <v>933.71</v>
      </c>
      <c r="F64" s="5">
        <v>17</v>
      </c>
      <c r="G64" s="5">
        <v>0.1</v>
      </c>
      <c r="H64" s="6">
        <v>45481</v>
      </c>
      <c r="I64" s="5">
        <v>294.12</v>
      </c>
      <c r="J64">
        <f t="shared" si="1"/>
        <v>15873.07</v>
      </c>
      <c r="K64" s="17">
        <f t="shared" ca="1" si="0"/>
        <v>46028.943489351848</v>
      </c>
    </row>
    <row r="65" spans="1:11" ht="15.75" customHeight="1" x14ac:dyDescent="0.3">
      <c r="A65" s="5" t="s">
        <v>69</v>
      </c>
      <c r="B65" s="5" t="s">
        <v>12</v>
      </c>
      <c r="C65" s="5" t="s">
        <v>13</v>
      </c>
      <c r="D65" s="5" t="s">
        <v>23</v>
      </c>
      <c r="E65" s="5">
        <v>1005.53</v>
      </c>
      <c r="F65" s="5">
        <v>17</v>
      </c>
      <c r="G65" s="5">
        <v>0.2</v>
      </c>
      <c r="H65" s="6">
        <v>45481</v>
      </c>
      <c r="I65" s="5">
        <v>201.11</v>
      </c>
      <c r="J65">
        <f t="shared" si="1"/>
        <v>17094.009999999998</v>
      </c>
      <c r="K65" s="17">
        <f t="shared" ca="1" si="0"/>
        <v>46028.943489351848</v>
      </c>
    </row>
    <row r="66" spans="1:11" ht="15.75" customHeight="1" x14ac:dyDescent="0.3">
      <c r="A66" s="5" t="s">
        <v>43</v>
      </c>
      <c r="B66" s="5" t="s">
        <v>63</v>
      </c>
      <c r="C66" s="5" t="s">
        <v>22</v>
      </c>
      <c r="D66" s="5" t="s">
        <v>23</v>
      </c>
      <c r="E66" s="5">
        <v>1100.0999999999999</v>
      </c>
      <c r="F66" s="5">
        <v>5</v>
      </c>
      <c r="G66" s="5">
        <v>0.05</v>
      </c>
      <c r="H66" s="6">
        <v>45482</v>
      </c>
      <c r="I66" s="5">
        <v>261.27</v>
      </c>
      <c r="J66">
        <f t="shared" si="1"/>
        <v>5500.5</v>
      </c>
      <c r="K66" s="17">
        <f t="shared" ref="K66:K129" ca="1" si="2">NOW()</f>
        <v>46028.943489351848</v>
      </c>
    </row>
    <row r="67" spans="1:11" ht="15.75" customHeight="1" x14ac:dyDescent="0.3">
      <c r="A67" s="5" t="s">
        <v>69</v>
      </c>
      <c r="B67" s="5" t="s">
        <v>25</v>
      </c>
      <c r="C67" s="5" t="s">
        <v>26</v>
      </c>
      <c r="D67" s="5" t="s">
        <v>29</v>
      </c>
      <c r="E67" s="5">
        <v>1034.7</v>
      </c>
      <c r="F67" s="5">
        <v>15</v>
      </c>
      <c r="G67" s="5">
        <v>0.15</v>
      </c>
      <c r="H67" s="6">
        <v>45487</v>
      </c>
      <c r="I67" s="5">
        <v>307.82</v>
      </c>
      <c r="J67">
        <f t="shared" ref="J67:J130" si="3">E67*F67</f>
        <v>15520.5</v>
      </c>
      <c r="K67" s="17">
        <f t="shared" ca="1" si="2"/>
        <v>46028.943489351848</v>
      </c>
    </row>
    <row r="68" spans="1:11" ht="15.75" customHeight="1" x14ac:dyDescent="0.3">
      <c r="A68" s="5" t="s">
        <v>67</v>
      </c>
      <c r="B68" s="5" t="s">
        <v>33</v>
      </c>
      <c r="C68" s="5" t="s">
        <v>22</v>
      </c>
      <c r="D68" s="5" t="s">
        <v>14</v>
      </c>
      <c r="E68" s="5">
        <v>876.44</v>
      </c>
      <c r="F68" s="5">
        <v>12</v>
      </c>
      <c r="G68" s="5">
        <v>0.05</v>
      </c>
      <c r="H68" s="6">
        <v>45488</v>
      </c>
      <c r="I68" s="5">
        <v>333.05</v>
      </c>
      <c r="J68">
        <f t="shared" si="3"/>
        <v>10517.28</v>
      </c>
      <c r="K68" s="17">
        <f t="shared" ca="1" si="2"/>
        <v>46028.943489351848</v>
      </c>
    </row>
    <row r="69" spans="1:11" ht="15.75" customHeight="1" x14ac:dyDescent="0.3">
      <c r="A69" s="5" t="s">
        <v>70</v>
      </c>
      <c r="B69" s="5" t="s">
        <v>57</v>
      </c>
      <c r="C69" s="5" t="s">
        <v>13</v>
      </c>
      <c r="D69" s="5" t="s">
        <v>29</v>
      </c>
      <c r="E69" s="5">
        <v>1371.34</v>
      </c>
      <c r="F69" s="5">
        <v>5</v>
      </c>
      <c r="G69" s="5">
        <v>0.05</v>
      </c>
      <c r="H69" s="6">
        <v>45488</v>
      </c>
      <c r="I69" s="5">
        <v>455.97</v>
      </c>
      <c r="J69">
        <f t="shared" si="3"/>
        <v>6856.7</v>
      </c>
      <c r="K69" s="17">
        <f t="shared" ca="1" si="2"/>
        <v>46028.943489351848</v>
      </c>
    </row>
    <row r="70" spans="1:11" ht="15.75" customHeight="1" x14ac:dyDescent="0.3">
      <c r="A70" s="5" t="s">
        <v>59</v>
      </c>
      <c r="B70" s="5" t="s">
        <v>49</v>
      </c>
      <c r="C70" s="5" t="s">
        <v>26</v>
      </c>
      <c r="D70" s="5" t="s">
        <v>23</v>
      </c>
      <c r="E70" s="5">
        <v>1020.26</v>
      </c>
      <c r="F70" s="5">
        <v>11</v>
      </c>
      <c r="G70" s="5">
        <v>0.05</v>
      </c>
      <c r="H70" s="6">
        <v>45494</v>
      </c>
      <c r="I70" s="5">
        <v>242.31</v>
      </c>
      <c r="J70">
        <f t="shared" si="3"/>
        <v>11222.86</v>
      </c>
      <c r="K70" s="17">
        <f t="shared" ca="1" si="2"/>
        <v>46028.943489351848</v>
      </c>
    </row>
    <row r="71" spans="1:11" ht="15.75" customHeight="1" x14ac:dyDescent="0.3">
      <c r="A71" s="5" t="s">
        <v>46</v>
      </c>
      <c r="B71" s="5" t="s">
        <v>12</v>
      </c>
      <c r="C71" s="5" t="s">
        <v>36</v>
      </c>
      <c r="D71" s="5" t="s">
        <v>41</v>
      </c>
      <c r="E71" s="5">
        <v>804.81</v>
      </c>
      <c r="F71" s="5">
        <v>1</v>
      </c>
      <c r="G71" s="5">
        <v>0.05</v>
      </c>
      <c r="H71" s="6">
        <v>45502</v>
      </c>
      <c r="I71" s="5">
        <v>344.06</v>
      </c>
      <c r="J71">
        <f t="shared" si="3"/>
        <v>804.81</v>
      </c>
      <c r="K71" s="17">
        <f t="shared" ca="1" si="2"/>
        <v>46028.943489351848</v>
      </c>
    </row>
    <row r="72" spans="1:11" ht="15.75" customHeight="1" x14ac:dyDescent="0.3">
      <c r="A72" s="5" t="s">
        <v>24</v>
      </c>
      <c r="B72" s="5" t="s">
        <v>57</v>
      </c>
      <c r="C72" s="5" t="s">
        <v>36</v>
      </c>
      <c r="D72" s="5" t="s">
        <v>23</v>
      </c>
      <c r="E72" s="5">
        <v>608.66</v>
      </c>
      <c r="F72" s="5">
        <v>1</v>
      </c>
      <c r="G72" s="5">
        <v>0.05</v>
      </c>
      <c r="H72" s="6">
        <v>45503</v>
      </c>
      <c r="I72" s="5">
        <v>144.56</v>
      </c>
      <c r="J72">
        <f t="shared" si="3"/>
        <v>608.66</v>
      </c>
      <c r="K72" s="17">
        <f t="shared" ca="1" si="2"/>
        <v>46028.943489351848</v>
      </c>
    </row>
    <row r="73" spans="1:11" ht="15.75" customHeight="1" x14ac:dyDescent="0.3">
      <c r="A73" s="5" t="s">
        <v>70</v>
      </c>
      <c r="B73" s="5" t="s">
        <v>71</v>
      </c>
      <c r="C73" s="5" t="s">
        <v>22</v>
      </c>
      <c r="D73" s="5" t="s">
        <v>41</v>
      </c>
      <c r="E73" s="5">
        <v>981.2</v>
      </c>
      <c r="F73" s="5">
        <v>19</v>
      </c>
      <c r="G73" s="5">
        <v>0</v>
      </c>
      <c r="H73" s="6">
        <v>45504</v>
      </c>
      <c r="I73" s="5">
        <v>441.54</v>
      </c>
      <c r="J73">
        <f t="shared" si="3"/>
        <v>18642.8</v>
      </c>
      <c r="K73" s="17">
        <f t="shared" ca="1" si="2"/>
        <v>46028.943489351848</v>
      </c>
    </row>
    <row r="74" spans="1:11" ht="15.75" customHeight="1" x14ac:dyDescent="0.3">
      <c r="A74" s="5" t="s">
        <v>72</v>
      </c>
      <c r="B74" s="5" t="s">
        <v>57</v>
      </c>
      <c r="C74" s="5" t="s">
        <v>20</v>
      </c>
      <c r="D74" s="5" t="s">
        <v>23</v>
      </c>
      <c r="E74" s="5">
        <v>539.77</v>
      </c>
      <c r="F74" s="5">
        <v>10</v>
      </c>
      <c r="G74" s="5">
        <v>0.15</v>
      </c>
      <c r="H74" s="6">
        <v>45509</v>
      </c>
      <c r="I74" s="5">
        <v>114.7</v>
      </c>
      <c r="J74">
        <f t="shared" si="3"/>
        <v>5397.7</v>
      </c>
      <c r="K74" s="17">
        <f t="shared" ca="1" si="2"/>
        <v>46028.943489351848</v>
      </c>
    </row>
    <row r="75" spans="1:11" ht="15.75" customHeight="1" x14ac:dyDescent="0.3">
      <c r="A75" s="5" t="s">
        <v>15</v>
      </c>
      <c r="B75" s="5" t="s">
        <v>73</v>
      </c>
      <c r="C75" s="5" t="s">
        <v>22</v>
      </c>
      <c r="D75" s="5" t="s">
        <v>14</v>
      </c>
      <c r="E75" s="5">
        <v>804.45</v>
      </c>
      <c r="F75" s="5">
        <v>5</v>
      </c>
      <c r="G75" s="5">
        <v>0.2</v>
      </c>
      <c r="H75" s="6">
        <v>45509</v>
      </c>
      <c r="I75" s="5">
        <v>257.42</v>
      </c>
      <c r="J75">
        <f t="shared" si="3"/>
        <v>4022.25</v>
      </c>
      <c r="K75" s="17">
        <f t="shared" ca="1" si="2"/>
        <v>46028.943489351848</v>
      </c>
    </row>
    <row r="76" spans="1:11" ht="15.75" customHeight="1" x14ac:dyDescent="0.3">
      <c r="A76" s="5" t="s">
        <v>72</v>
      </c>
      <c r="B76" s="5" t="s">
        <v>40</v>
      </c>
      <c r="C76" s="5" t="s">
        <v>13</v>
      </c>
      <c r="D76" s="5" t="s">
        <v>23</v>
      </c>
      <c r="E76" s="5">
        <v>1526.6</v>
      </c>
      <c r="F76" s="5">
        <v>13</v>
      </c>
      <c r="G76" s="5">
        <v>0.2</v>
      </c>
      <c r="H76" s="6">
        <v>45512</v>
      </c>
      <c r="I76" s="5">
        <v>305.32</v>
      </c>
      <c r="J76">
        <f t="shared" si="3"/>
        <v>19845.8</v>
      </c>
      <c r="K76" s="17">
        <f t="shared" ca="1" si="2"/>
        <v>46028.943489351848</v>
      </c>
    </row>
    <row r="77" spans="1:11" ht="15.75" customHeight="1" x14ac:dyDescent="0.3">
      <c r="A77" s="5" t="s">
        <v>15</v>
      </c>
      <c r="B77" s="5" t="s">
        <v>31</v>
      </c>
      <c r="C77" s="5" t="s">
        <v>13</v>
      </c>
      <c r="D77" s="5" t="s">
        <v>23</v>
      </c>
      <c r="E77" s="5">
        <v>1215.26</v>
      </c>
      <c r="F77" s="5">
        <v>5</v>
      </c>
      <c r="G77" s="5">
        <v>0.15</v>
      </c>
      <c r="H77" s="6">
        <v>45513</v>
      </c>
      <c r="I77" s="5">
        <v>258.24</v>
      </c>
      <c r="J77">
        <f t="shared" si="3"/>
        <v>6076.3</v>
      </c>
      <c r="K77" s="17">
        <f t="shared" ca="1" si="2"/>
        <v>46028.943489351848</v>
      </c>
    </row>
    <row r="78" spans="1:11" ht="15.75" customHeight="1" x14ac:dyDescent="0.3">
      <c r="A78" s="5" t="s">
        <v>21</v>
      </c>
      <c r="B78" s="5" t="s">
        <v>55</v>
      </c>
      <c r="C78" s="5" t="s">
        <v>36</v>
      </c>
      <c r="D78" s="5" t="s">
        <v>29</v>
      </c>
      <c r="E78" s="5">
        <v>1261.3399999999999</v>
      </c>
      <c r="F78" s="5">
        <v>3</v>
      </c>
      <c r="G78" s="5">
        <v>0</v>
      </c>
      <c r="H78" s="6">
        <v>45519</v>
      </c>
      <c r="I78" s="5">
        <v>441.47</v>
      </c>
      <c r="J78">
        <f t="shared" si="3"/>
        <v>3784.0199999999995</v>
      </c>
      <c r="K78" s="17">
        <f t="shared" ca="1" si="2"/>
        <v>46028.943489351848</v>
      </c>
    </row>
    <row r="79" spans="1:11" ht="15.75" customHeight="1" x14ac:dyDescent="0.3">
      <c r="A79" s="5" t="s">
        <v>74</v>
      </c>
      <c r="B79" s="5" t="s">
        <v>47</v>
      </c>
      <c r="C79" s="5" t="s">
        <v>26</v>
      </c>
      <c r="D79" s="5" t="s">
        <v>29</v>
      </c>
      <c r="E79" s="5">
        <v>518.07000000000005</v>
      </c>
      <c r="F79" s="5">
        <v>7</v>
      </c>
      <c r="G79" s="5">
        <v>0.05</v>
      </c>
      <c r="H79" s="6">
        <v>45522</v>
      </c>
      <c r="I79" s="5">
        <v>172.26</v>
      </c>
      <c r="J79">
        <f t="shared" si="3"/>
        <v>3626.4900000000002</v>
      </c>
      <c r="K79" s="17">
        <f t="shared" ca="1" si="2"/>
        <v>46028.943489351848</v>
      </c>
    </row>
    <row r="80" spans="1:11" ht="15.75" customHeight="1" x14ac:dyDescent="0.3">
      <c r="A80" s="5" t="s">
        <v>32</v>
      </c>
      <c r="B80" s="5" t="s">
        <v>31</v>
      </c>
      <c r="C80" s="5" t="s">
        <v>13</v>
      </c>
      <c r="D80" s="5" t="s">
        <v>41</v>
      </c>
      <c r="E80" s="5">
        <v>1111.3399999999999</v>
      </c>
      <c r="F80" s="5">
        <v>1</v>
      </c>
      <c r="G80" s="5">
        <v>0</v>
      </c>
      <c r="H80" s="6">
        <v>45523</v>
      </c>
      <c r="I80" s="5">
        <v>500.1</v>
      </c>
      <c r="J80">
        <f t="shared" si="3"/>
        <v>1111.3399999999999</v>
      </c>
      <c r="K80" s="17">
        <f t="shared" ca="1" si="2"/>
        <v>46028.943489351848</v>
      </c>
    </row>
    <row r="81" spans="1:11" ht="15.75" customHeight="1" x14ac:dyDescent="0.3">
      <c r="A81" s="5" t="s">
        <v>24</v>
      </c>
      <c r="B81" s="5" t="s">
        <v>33</v>
      </c>
      <c r="C81" s="5" t="s">
        <v>20</v>
      </c>
      <c r="D81" s="5" t="s">
        <v>17</v>
      </c>
      <c r="E81" s="5">
        <v>1291.47</v>
      </c>
      <c r="F81" s="5">
        <v>18</v>
      </c>
      <c r="G81" s="5">
        <v>0.1</v>
      </c>
      <c r="H81" s="6">
        <v>45526</v>
      </c>
      <c r="I81" s="5">
        <v>581.16</v>
      </c>
      <c r="J81">
        <f t="shared" si="3"/>
        <v>23246.46</v>
      </c>
      <c r="K81" s="17">
        <f t="shared" ca="1" si="2"/>
        <v>46028.943489351848</v>
      </c>
    </row>
    <row r="82" spans="1:11" ht="15.75" customHeight="1" x14ac:dyDescent="0.3">
      <c r="A82" s="5" t="s">
        <v>27</v>
      </c>
      <c r="B82" s="5" t="s">
        <v>57</v>
      </c>
      <c r="C82" s="5" t="s">
        <v>26</v>
      </c>
      <c r="D82" s="5" t="s">
        <v>14</v>
      </c>
      <c r="E82" s="5">
        <v>679.71</v>
      </c>
      <c r="F82" s="5">
        <v>19</v>
      </c>
      <c r="G82" s="5">
        <v>0</v>
      </c>
      <c r="H82" s="6">
        <v>45534</v>
      </c>
      <c r="I82" s="5">
        <v>271.88</v>
      </c>
      <c r="J82">
        <f t="shared" si="3"/>
        <v>12914.490000000002</v>
      </c>
      <c r="K82" s="17">
        <f t="shared" ca="1" si="2"/>
        <v>46028.943489351848</v>
      </c>
    </row>
    <row r="83" spans="1:11" ht="15.75" customHeight="1" x14ac:dyDescent="0.3">
      <c r="A83" s="5" t="s">
        <v>70</v>
      </c>
      <c r="B83" s="5" t="s">
        <v>35</v>
      </c>
      <c r="C83" s="5" t="s">
        <v>20</v>
      </c>
      <c r="D83" s="5" t="s">
        <v>29</v>
      </c>
      <c r="E83" s="5">
        <v>1143.69</v>
      </c>
      <c r="F83" s="5">
        <v>17</v>
      </c>
      <c r="G83" s="5">
        <v>0</v>
      </c>
      <c r="H83" s="6">
        <v>45534</v>
      </c>
      <c r="I83" s="5">
        <v>400.29</v>
      </c>
      <c r="J83">
        <f t="shared" si="3"/>
        <v>19442.73</v>
      </c>
      <c r="K83" s="17">
        <f t="shared" ca="1" si="2"/>
        <v>46028.943489351848</v>
      </c>
    </row>
    <row r="84" spans="1:11" ht="15.75" customHeight="1" x14ac:dyDescent="0.3">
      <c r="A84" s="5" t="s">
        <v>54</v>
      </c>
      <c r="B84" s="5" t="s">
        <v>52</v>
      </c>
      <c r="C84" s="5" t="s">
        <v>36</v>
      </c>
      <c r="D84" s="5" t="s">
        <v>23</v>
      </c>
      <c r="E84" s="5">
        <v>790.08</v>
      </c>
      <c r="F84" s="5">
        <v>7</v>
      </c>
      <c r="G84" s="5">
        <v>0.1</v>
      </c>
      <c r="H84" s="6">
        <v>45536</v>
      </c>
      <c r="I84" s="5">
        <v>177.77</v>
      </c>
      <c r="J84">
        <f t="shared" si="3"/>
        <v>5530.56</v>
      </c>
      <c r="K84" s="17">
        <f t="shared" ca="1" si="2"/>
        <v>46028.943489351848</v>
      </c>
    </row>
    <row r="85" spans="1:11" ht="15.75" customHeight="1" x14ac:dyDescent="0.3">
      <c r="A85" s="5" t="s">
        <v>21</v>
      </c>
      <c r="B85" s="5" t="s">
        <v>50</v>
      </c>
      <c r="C85" s="5" t="s">
        <v>36</v>
      </c>
      <c r="D85" s="5" t="s">
        <v>14</v>
      </c>
      <c r="E85" s="5">
        <v>1070.68</v>
      </c>
      <c r="F85" s="5">
        <v>7</v>
      </c>
      <c r="G85" s="5">
        <v>0.05</v>
      </c>
      <c r="H85" s="6">
        <v>45536</v>
      </c>
      <c r="I85" s="5">
        <v>406.86</v>
      </c>
      <c r="J85">
        <f t="shared" si="3"/>
        <v>7494.76</v>
      </c>
      <c r="K85" s="17">
        <f t="shared" ca="1" si="2"/>
        <v>46028.943489351848</v>
      </c>
    </row>
    <row r="86" spans="1:11" ht="15.75" customHeight="1" x14ac:dyDescent="0.3">
      <c r="A86" s="5" t="s">
        <v>60</v>
      </c>
      <c r="B86" s="5" t="s">
        <v>38</v>
      </c>
      <c r="C86" s="5" t="s">
        <v>13</v>
      </c>
      <c r="D86" s="5" t="s">
        <v>17</v>
      </c>
      <c r="E86" s="5">
        <v>1168.8900000000001</v>
      </c>
      <c r="F86" s="5">
        <v>4</v>
      </c>
      <c r="G86" s="5">
        <v>0.1</v>
      </c>
      <c r="H86" s="6">
        <v>45544</v>
      </c>
      <c r="I86" s="5">
        <v>526</v>
      </c>
      <c r="J86">
        <f t="shared" si="3"/>
        <v>4675.5600000000004</v>
      </c>
      <c r="K86" s="17">
        <f t="shared" ca="1" si="2"/>
        <v>46028.943489351848</v>
      </c>
    </row>
    <row r="87" spans="1:11" ht="15.75" customHeight="1" x14ac:dyDescent="0.3">
      <c r="A87" s="5" t="s">
        <v>69</v>
      </c>
      <c r="B87" s="5" t="s">
        <v>12</v>
      </c>
      <c r="C87" s="5" t="s">
        <v>22</v>
      </c>
      <c r="D87" s="5" t="s">
        <v>23</v>
      </c>
      <c r="E87" s="5">
        <v>1335.87</v>
      </c>
      <c r="F87" s="5">
        <v>17</v>
      </c>
      <c r="G87" s="5">
        <v>0</v>
      </c>
      <c r="H87" s="6">
        <v>45544</v>
      </c>
      <c r="I87" s="5">
        <v>333.97</v>
      </c>
      <c r="J87">
        <f t="shared" si="3"/>
        <v>22709.789999999997</v>
      </c>
      <c r="K87" s="17">
        <f t="shared" ca="1" si="2"/>
        <v>46028.943489351848</v>
      </c>
    </row>
    <row r="88" spans="1:11" ht="15.75" customHeight="1" x14ac:dyDescent="0.3">
      <c r="A88" s="5" t="s">
        <v>42</v>
      </c>
      <c r="B88" s="5" t="s">
        <v>57</v>
      </c>
      <c r="C88" s="5" t="s">
        <v>20</v>
      </c>
      <c r="D88" s="5" t="s">
        <v>29</v>
      </c>
      <c r="E88" s="5">
        <v>873.7</v>
      </c>
      <c r="F88" s="5">
        <v>9</v>
      </c>
      <c r="G88" s="5">
        <v>0</v>
      </c>
      <c r="H88" s="6">
        <v>45546</v>
      </c>
      <c r="I88" s="5">
        <v>305.8</v>
      </c>
      <c r="J88">
        <f t="shared" si="3"/>
        <v>7863.3</v>
      </c>
      <c r="K88" s="17">
        <f t="shared" ca="1" si="2"/>
        <v>46028.943489351848</v>
      </c>
    </row>
    <row r="89" spans="1:11" ht="15.75" customHeight="1" x14ac:dyDescent="0.3">
      <c r="A89" s="5" t="s">
        <v>74</v>
      </c>
      <c r="B89" s="5" t="s">
        <v>66</v>
      </c>
      <c r="C89" s="5" t="s">
        <v>13</v>
      </c>
      <c r="D89" s="5" t="s">
        <v>41</v>
      </c>
      <c r="E89" s="5">
        <v>1443.98</v>
      </c>
      <c r="F89" s="5">
        <v>19</v>
      </c>
      <c r="G89" s="5">
        <v>0</v>
      </c>
      <c r="H89" s="6">
        <v>45547</v>
      </c>
      <c r="I89" s="5">
        <v>649.79</v>
      </c>
      <c r="J89">
        <f t="shared" si="3"/>
        <v>27435.62</v>
      </c>
      <c r="K89" s="17">
        <f t="shared" ca="1" si="2"/>
        <v>46028.943489351848</v>
      </c>
    </row>
    <row r="90" spans="1:11" ht="15.75" customHeight="1" x14ac:dyDescent="0.3">
      <c r="A90" s="5" t="s">
        <v>42</v>
      </c>
      <c r="B90" s="5" t="s">
        <v>25</v>
      </c>
      <c r="C90" s="5" t="s">
        <v>20</v>
      </c>
      <c r="D90" s="5" t="s">
        <v>41</v>
      </c>
      <c r="E90" s="5">
        <v>1154.33</v>
      </c>
      <c r="F90" s="5">
        <v>11</v>
      </c>
      <c r="G90" s="5">
        <v>0.15</v>
      </c>
      <c r="H90" s="6">
        <v>45549</v>
      </c>
      <c r="I90" s="5">
        <v>441.53</v>
      </c>
      <c r="J90">
        <f t="shared" si="3"/>
        <v>12697.63</v>
      </c>
      <c r="K90" s="17">
        <f t="shared" ca="1" si="2"/>
        <v>46028.943489351848</v>
      </c>
    </row>
    <row r="91" spans="1:11" ht="15.75" customHeight="1" x14ac:dyDescent="0.3">
      <c r="A91" s="5" t="s">
        <v>51</v>
      </c>
      <c r="B91" s="5" t="s">
        <v>52</v>
      </c>
      <c r="C91" s="5" t="s">
        <v>22</v>
      </c>
      <c r="D91" s="5" t="s">
        <v>14</v>
      </c>
      <c r="E91" s="5">
        <v>1264.49</v>
      </c>
      <c r="F91" s="5">
        <v>16</v>
      </c>
      <c r="G91" s="5">
        <v>0.05</v>
      </c>
      <c r="H91" s="6">
        <v>45549</v>
      </c>
      <c r="I91" s="5">
        <v>480.51</v>
      </c>
      <c r="J91">
        <f t="shared" si="3"/>
        <v>20231.84</v>
      </c>
      <c r="K91" s="17">
        <f t="shared" ca="1" si="2"/>
        <v>46028.943489351848</v>
      </c>
    </row>
    <row r="92" spans="1:11" ht="15.75" customHeight="1" x14ac:dyDescent="0.3">
      <c r="A92" s="5" t="s">
        <v>27</v>
      </c>
      <c r="B92" s="5" t="s">
        <v>68</v>
      </c>
      <c r="C92" s="5" t="s">
        <v>13</v>
      </c>
      <c r="D92" s="5" t="s">
        <v>29</v>
      </c>
      <c r="E92" s="5">
        <v>1101.55</v>
      </c>
      <c r="F92" s="5">
        <v>4</v>
      </c>
      <c r="G92" s="5">
        <v>0.1</v>
      </c>
      <c r="H92" s="6">
        <v>45551</v>
      </c>
      <c r="I92" s="5">
        <v>346.99</v>
      </c>
      <c r="J92">
        <f t="shared" si="3"/>
        <v>4406.2</v>
      </c>
      <c r="K92" s="17">
        <f t="shared" ca="1" si="2"/>
        <v>46028.943489351848</v>
      </c>
    </row>
    <row r="93" spans="1:11" ht="15.75" customHeight="1" x14ac:dyDescent="0.3">
      <c r="A93" s="5" t="s">
        <v>75</v>
      </c>
      <c r="B93" s="5" t="s">
        <v>16</v>
      </c>
      <c r="C93" s="5" t="s">
        <v>22</v>
      </c>
      <c r="D93" s="5" t="s">
        <v>29</v>
      </c>
      <c r="E93" s="5">
        <v>727.73</v>
      </c>
      <c r="F93" s="5">
        <v>1</v>
      </c>
      <c r="G93" s="5">
        <v>0.1</v>
      </c>
      <c r="H93" s="6">
        <v>45552</v>
      </c>
      <c r="I93" s="5">
        <v>229.23</v>
      </c>
      <c r="J93">
        <f t="shared" si="3"/>
        <v>727.73</v>
      </c>
      <c r="K93" s="17">
        <f t="shared" ca="1" si="2"/>
        <v>46028.943489351848</v>
      </c>
    </row>
    <row r="94" spans="1:11" ht="15.75" customHeight="1" x14ac:dyDescent="0.3">
      <c r="A94" s="5" t="s">
        <v>76</v>
      </c>
      <c r="B94" s="5" t="s">
        <v>40</v>
      </c>
      <c r="C94" s="5" t="s">
        <v>20</v>
      </c>
      <c r="D94" s="5" t="s">
        <v>41</v>
      </c>
      <c r="E94" s="5">
        <v>875.41</v>
      </c>
      <c r="F94" s="5">
        <v>13</v>
      </c>
      <c r="G94" s="5">
        <v>0.15</v>
      </c>
      <c r="H94" s="6">
        <v>45552</v>
      </c>
      <c r="I94" s="5">
        <v>334.84</v>
      </c>
      <c r="J94">
        <f t="shared" si="3"/>
        <v>11380.33</v>
      </c>
      <c r="K94" s="17">
        <f t="shared" ca="1" si="2"/>
        <v>46028.943489351848</v>
      </c>
    </row>
    <row r="95" spans="1:11" ht="15.75" customHeight="1" x14ac:dyDescent="0.3">
      <c r="A95" s="5" t="s">
        <v>69</v>
      </c>
      <c r="B95" s="5" t="s">
        <v>25</v>
      </c>
      <c r="C95" s="5" t="s">
        <v>13</v>
      </c>
      <c r="D95" s="5" t="s">
        <v>23</v>
      </c>
      <c r="E95" s="5">
        <v>1158.94</v>
      </c>
      <c r="F95" s="5">
        <v>19</v>
      </c>
      <c r="G95" s="5">
        <v>0.2</v>
      </c>
      <c r="H95" s="6">
        <v>45553</v>
      </c>
      <c r="I95" s="5">
        <v>231.79</v>
      </c>
      <c r="J95">
        <f t="shared" si="3"/>
        <v>22019.86</v>
      </c>
      <c r="K95" s="17">
        <f t="shared" ca="1" si="2"/>
        <v>46028.943489351848</v>
      </c>
    </row>
    <row r="96" spans="1:11" ht="15.75" customHeight="1" x14ac:dyDescent="0.3">
      <c r="A96" s="5" t="s">
        <v>77</v>
      </c>
      <c r="B96" s="5" t="s">
        <v>49</v>
      </c>
      <c r="C96" s="5" t="s">
        <v>22</v>
      </c>
      <c r="D96" s="5" t="s">
        <v>14</v>
      </c>
      <c r="E96" s="5">
        <v>966.3</v>
      </c>
      <c r="F96" s="5">
        <v>2</v>
      </c>
      <c r="G96" s="5">
        <v>0.15</v>
      </c>
      <c r="H96" s="6">
        <v>45557</v>
      </c>
      <c r="I96" s="5">
        <v>328.54</v>
      </c>
      <c r="J96">
        <f t="shared" si="3"/>
        <v>1932.6</v>
      </c>
      <c r="K96" s="17">
        <f t="shared" ca="1" si="2"/>
        <v>46028.943489351848</v>
      </c>
    </row>
    <row r="97" spans="1:11" ht="15.75" customHeight="1" x14ac:dyDescent="0.3">
      <c r="A97" s="5" t="s">
        <v>70</v>
      </c>
      <c r="B97" s="5" t="s">
        <v>19</v>
      </c>
      <c r="C97" s="5" t="s">
        <v>22</v>
      </c>
      <c r="D97" s="5" t="s">
        <v>14</v>
      </c>
      <c r="E97" s="5">
        <v>917.48</v>
      </c>
      <c r="F97" s="5">
        <v>6</v>
      </c>
      <c r="G97" s="5">
        <v>0</v>
      </c>
      <c r="H97" s="6">
        <v>45558</v>
      </c>
      <c r="I97" s="5">
        <v>366.99</v>
      </c>
      <c r="J97">
        <f t="shared" si="3"/>
        <v>5504.88</v>
      </c>
      <c r="K97" s="17">
        <f t="shared" ca="1" si="2"/>
        <v>46028.943489351848</v>
      </c>
    </row>
    <row r="98" spans="1:11" ht="15.75" customHeight="1" x14ac:dyDescent="0.3">
      <c r="A98" s="5" t="s">
        <v>43</v>
      </c>
      <c r="B98" s="5" t="s">
        <v>63</v>
      </c>
      <c r="C98" s="5" t="s">
        <v>13</v>
      </c>
      <c r="D98" s="5" t="s">
        <v>29</v>
      </c>
      <c r="E98" s="5">
        <v>1172.97</v>
      </c>
      <c r="F98" s="5">
        <v>7</v>
      </c>
      <c r="G98" s="5">
        <v>0.15</v>
      </c>
      <c r="H98" s="6">
        <v>45559</v>
      </c>
      <c r="I98" s="5">
        <v>348.96</v>
      </c>
      <c r="J98">
        <f t="shared" si="3"/>
        <v>8210.7900000000009</v>
      </c>
      <c r="K98" s="17">
        <f t="shared" ca="1" si="2"/>
        <v>46028.943489351848</v>
      </c>
    </row>
    <row r="99" spans="1:11" ht="15.75" customHeight="1" x14ac:dyDescent="0.3">
      <c r="A99" s="5" t="s">
        <v>59</v>
      </c>
      <c r="B99" s="5" t="s">
        <v>25</v>
      </c>
      <c r="C99" s="5" t="s">
        <v>26</v>
      </c>
      <c r="D99" s="5" t="s">
        <v>17</v>
      </c>
      <c r="E99" s="5">
        <v>1205.82</v>
      </c>
      <c r="F99" s="5">
        <v>11</v>
      </c>
      <c r="G99" s="5">
        <v>0.1</v>
      </c>
      <c r="H99" s="6">
        <v>45559</v>
      </c>
      <c r="I99" s="5">
        <v>542.62</v>
      </c>
      <c r="J99">
        <f t="shared" si="3"/>
        <v>13264.019999999999</v>
      </c>
      <c r="K99" s="17">
        <f t="shared" ca="1" si="2"/>
        <v>46028.943489351848</v>
      </c>
    </row>
    <row r="100" spans="1:11" ht="15.75" customHeight="1" x14ac:dyDescent="0.3">
      <c r="A100" s="5" t="s">
        <v>18</v>
      </c>
      <c r="B100" s="5" t="s">
        <v>66</v>
      </c>
      <c r="C100" s="5" t="s">
        <v>13</v>
      </c>
      <c r="D100" s="5" t="s">
        <v>41</v>
      </c>
      <c r="E100" s="5">
        <v>826.93</v>
      </c>
      <c r="F100" s="5">
        <v>10</v>
      </c>
      <c r="G100" s="5">
        <v>0.2</v>
      </c>
      <c r="H100" s="6">
        <v>45564</v>
      </c>
      <c r="I100" s="5">
        <v>297.69</v>
      </c>
      <c r="J100">
        <f t="shared" si="3"/>
        <v>8269.2999999999993</v>
      </c>
      <c r="K100" s="17">
        <f t="shared" ca="1" si="2"/>
        <v>46028.943489351848</v>
      </c>
    </row>
    <row r="101" spans="1:11" ht="15.75" customHeight="1" x14ac:dyDescent="0.3">
      <c r="A101" s="5" t="s">
        <v>69</v>
      </c>
      <c r="B101" s="5" t="s">
        <v>25</v>
      </c>
      <c r="C101" s="5" t="s">
        <v>36</v>
      </c>
      <c r="D101" s="5" t="s">
        <v>17</v>
      </c>
      <c r="E101" s="5">
        <v>902.19</v>
      </c>
      <c r="F101" s="5">
        <v>12</v>
      </c>
      <c r="G101" s="5">
        <v>0</v>
      </c>
      <c r="H101" s="6">
        <v>45564</v>
      </c>
      <c r="I101" s="5">
        <v>451.1</v>
      </c>
      <c r="J101">
        <f t="shared" si="3"/>
        <v>10826.28</v>
      </c>
      <c r="K101" s="17">
        <f t="shared" ca="1" si="2"/>
        <v>46028.943489351848</v>
      </c>
    </row>
    <row r="102" spans="1:11" ht="15.75" customHeight="1" x14ac:dyDescent="0.3">
      <c r="A102" s="5" t="s">
        <v>76</v>
      </c>
      <c r="B102" s="5" t="s">
        <v>40</v>
      </c>
      <c r="C102" s="5" t="s">
        <v>26</v>
      </c>
      <c r="D102" s="5" t="s">
        <v>14</v>
      </c>
      <c r="E102" s="5">
        <v>585.97</v>
      </c>
      <c r="F102" s="5">
        <v>17</v>
      </c>
      <c r="G102" s="5">
        <v>0.1</v>
      </c>
      <c r="H102" s="6">
        <v>45565</v>
      </c>
      <c r="I102" s="5">
        <v>210.95</v>
      </c>
      <c r="J102">
        <f t="shared" si="3"/>
        <v>9961.49</v>
      </c>
      <c r="K102" s="17">
        <f t="shared" ca="1" si="2"/>
        <v>46028.943489351848</v>
      </c>
    </row>
    <row r="103" spans="1:11" ht="15.75" customHeight="1" x14ac:dyDescent="0.3">
      <c r="A103" s="5" t="s">
        <v>62</v>
      </c>
      <c r="B103" s="5" t="s">
        <v>28</v>
      </c>
      <c r="C103" s="5" t="s">
        <v>26</v>
      </c>
      <c r="D103" s="5" t="s">
        <v>17</v>
      </c>
      <c r="E103" s="5">
        <v>990.19</v>
      </c>
      <c r="F103" s="5">
        <v>8</v>
      </c>
      <c r="G103" s="5">
        <v>0.1</v>
      </c>
      <c r="H103" s="6">
        <v>45565</v>
      </c>
      <c r="I103" s="5">
        <v>445.59</v>
      </c>
      <c r="J103">
        <f t="shared" si="3"/>
        <v>7921.52</v>
      </c>
      <c r="K103" s="17">
        <f t="shared" ca="1" si="2"/>
        <v>46028.943489351848</v>
      </c>
    </row>
    <row r="104" spans="1:11" ht="15.75" customHeight="1" x14ac:dyDescent="0.3">
      <c r="A104" s="5" t="s">
        <v>46</v>
      </c>
      <c r="B104" s="5" t="s">
        <v>58</v>
      </c>
      <c r="C104" s="5" t="s">
        <v>36</v>
      </c>
      <c r="D104" s="5" t="s">
        <v>23</v>
      </c>
      <c r="E104" s="5">
        <v>1014.09</v>
      </c>
      <c r="F104" s="5">
        <v>13</v>
      </c>
      <c r="G104" s="5">
        <v>0.2</v>
      </c>
      <c r="H104" s="6">
        <v>45567</v>
      </c>
      <c r="I104" s="5">
        <v>202.82</v>
      </c>
      <c r="J104">
        <f t="shared" si="3"/>
        <v>13183.17</v>
      </c>
      <c r="K104" s="17">
        <f t="shared" ca="1" si="2"/>
        <v>46028.943489351848</v>
      </c>
    </row>
    <row r="105" spans="1:11" ht="15.75" customHeight="1" x14ac:dyDescent="0.3">
      <c r="A105" s="5" t="s">
        <v>15</v>
      </c>
      <c r="B105" s="5" t="s">
        <v>50</v>
      </c>
      <c r="C105" s="5" t="s">
        <v>26</v>
      </c>
      <c r="D105" s="5" t="s">
        <v>23</v>
      </c>
      <c r="E105" s="5">
        <v>925.29</v>
      </c>
      <c r="F105" s="5">
        <v>17</v>
      </c>
      <c r="G105" s="5">
        <v>0</v>
      </c>
      <c r="H105" s="6">
        <v>45570</v>
      </c>
      <c r="I105" s="5">
        <v>231.32</v>
      </c>
      <c r="J105">
        <f t="shared" si="3"/>
        <v>15729.93</v>
      </c>
      <c r="K105" s="17">
        <f t="shared" ca="1" si="2"/>
        <v>46028.943489351848</v>
      </c>
    </row>
    <row r="106" spans="1:11" ht="15.75" customHeight="1" x14ac:dyDescent="0.3">
      <c r="A106" s="5" t="s">
        <v>56</v>
      </c>
      <c r="B106" s="5" t="s">
        <v>49</v>
      </c>
      <c r="C106" s="5" t="s">
        <v>20</v>
      </c>
      <c r="D106" s="5" t="s">
        <v>29</v>
      </c>
      <c r="E106" s="5">
        <v>1286.54</v>
      </c>
      <c r="F106" s="5">
        <v>8</v>
      </c>
      <c r="G106" s="5">
        <v>0</v>
      </c>
      <c r="H106" s="6">
        <v>45575</v>
      </c>
      <c r="I106" s="5">
        <v>450.29</v>
      </c>
      <c r="J106">
        <f t="shared" si="3"/>
        <v>10292.32</v>
      </c>
      <c r="K106" s="17">
        <f t="shared" ca="1" si="2"/>
        <v>46028.943489351848</v>
      </c>
    </row>
    <row r="107" spans="1:11" ht="15.75" customHeight="1" x14ac:dyDescent="0.3">
      <c r="A107" s="5" t="s">
        <v>39</v>
      </c>
      <c r="B107" s="5" t="s">
        <v>66</v>
      </c>
      <c r="C107" s="5" t="s">
        <v>22</v>
      </c>
      <c r="D107" s="5" t="s">
        <v>14</v>
      </c>
      <c r="E107" s="5">
        <v>961.62</v>
      </c>
      <c r="F107" s="5">
        <v>8</v>
      </c>
      <c r="G107" s="5">
        <v>0.2</v>
      </c>
      <c r="H107" s="6">
        <v>45577</v>
      </c>
      <c r="I107" s="5">
        <v>307.72000000000003</v>
      </c>
      <c r="J107">
        <f t="shared" si="3"/>
        <v>7692.96</v>
      </c>
      <c r="K107" s="17">
        <f t="shared" ca="1" si="2"/>
        <v>46028.943489351848</v>
      </c>
    </row>
    <row r="108" spans="1:11" ht="15.75" customHeight="1" x14ac:dyDescent="0.3">
      <c r="A108" s="5" t="s">
        <v>46</v>
      </c>
      <c r="B108" s="5" t="s">
        <v>25</v>
      </c>
      <c r="C108" s="5" t="s">
        <v>20</v>
      </c>
      <c r="D108" s="5" t="s">
        <v>14</v>
      </c>
      <c r="E108" s="5">
        <v>1081.1400000000001</v>
      </c>
      <c r="F108" s="5">
        <v>19</v>
      </c>
      <c r="G108" s="5">
        <v>0.15</v>
      </c>
      <c r="H108" s="6">
        <v>45577</v>
      </c>
      <c r="I108" s="5">
        <v>367.59</v>
      </c>
      <c r="J108">
        <f t="shared" si="3"/>
        <v>20541.660000000003</v>
      </c>
      <c r="K108" s="17">
        <f t="shared" ca="1" si="2"/>
        <v>46028.943489351848</v>
      </c>
    </row>
    <row r="109" spans="1:11" ht="15.75" customHeight="1" x14ac:dyDescent="0.3">
      <c r="A109" s="5" t="s">
        <v>60</v>
      </c>
      <c r="B109" s="5" t="s">
        <v>25</v>
      </c>
      <c r="C109" s="5" t="s">
        <v>13</v>
      </c>
      <c r="D109" s="5" t="s">
        <v>17</v>
      </c>
      <c r="E109" s="5">
        <v>1923.66</v>
      </c>
      <c r="F109" s="5">
        <v>9</v>
      </c>
      <c r="G109" s="5">
        <v>0.2</v>
      </c>
      <c r="H109" s="6">
        <v>45580</v>
      </c>
      <c r="I109" s="5">
        <v>769.46</v>
      </c>
      <c r="J109">
        <f t="shared" si="3"/>
        <v>17312.940000000002</v>
      </c>
      <c r="K109" s="17">
        <f t="shared" ca="1" si="2"/>
        <v>46028.943489351848</v>
      </c>
    </row>
    <row r="110" spans="1:11" ht="15.75" customHeight="1" x14ac:dyDescent="0.3">
      <c r="A110" s="5" t="s">
        <v>56</v>
      </c>
      <c r="B110" s="5" t="s">
        <v>68</v>
      </c>
      <c r="C110" s="5" t="s">
        <v>36</v>
      </c>
      <c r="D110" s="5" t="s">
        <v>17</v>
      </c>
      <c r="E110" s="5">
        <v>728.71</v>
      </c>
      <c r="F110" s="5">
        <v>14</v>
      </c>
      <c r="G110" s="5">
        <v>0.1</v>
      </c>
      <c r="H110" s="6">
        <v>45581</v>
      </c>
      <c r="I110" s="5">
        <v>327.92</v>
      </c>
      <c r="J110">
        <f t="shared" si="3"/>
        <v>10201.94</v>
      </c>
      <c r="K110" s="17">
        <f t="shared" ca="1" si="2"/>
        <v>46028.943489351848</v>
      </c>
    </row>
    <row r="111" spans="1:11" ht="15.75" customHeight="1" x14ac:dyDescent="0.3">
      <c r="A111" s="5" t="s">
        <v>11</v>
      </c>
      <c r="B111" s="5" t="s">
        <v>35</v>
      </c>
      <c r="C111" s="5" t="s">
        <v>36</v>
      </c>
      <c r="D111" s="5" t="s">
        <v>17</v>
      </c>
      <c r="E111" s="5">
        <v>1301.8900000000001</v>
      </c>
      <c r="F111" s="5">
        <v>7</v>
      </c>
      <c r="G111" s="5">
        <v>0.15</v>
      </c>
      <c r="H111" s="6">
        <v>45581</v>
      </c>
      <c r="I111" s="5">
        <v>553.29999999999995</v>
      </c>
      <c r="J111">
        <f t="shared" si="3"/>
        <v>9113.2300000000014</v>
      </c>
      <c r="K111" s="17">
        <f t="shared" ca="1" si="2"/>
        <v>46028.943489351848</v>
      </c>
    </row>
    <row r="112" spans="1:11" ht="15.75" customHeight="1" x14ac:dyDescent="0.3">
      <c r="A112" s="5" t="s">
        <v>72</v>
      </c>
      <c r="B112" s="5" t="s">
        <v>68</v>
      </c>
      <c r="C112" s="5" t="s">
        <v>20</v>
      </c>
      <c r="D112" s="5" t="s">
        <v>14</v>
      </c>
      <c r="E112" s="5">
        <v>980.18</v>
      </c>
      <c r="F112" s="5">
        <v>16</v>
      </c>
      <c r="G112" s="5">
        <v>0.1</v>
      </c>
      <c r="H112" s="6">
        <v>45582</v>
      </c>
      <c r="I112" s="5">
        <v>352.86</v>
      </c>
      <c r="J112">
        <f t="shared" si="3"/>
        <v>15682.88</v>
      </c>
      <c r="K112" s="17">
        <f t="shared" ca="1" si="2"/>
        <v>46028.943489351848</v>
      </c>
    </row>
    <row r="113" spans="1:11" ht="15.75" customHeight="1" x14ac:dyDescent="0.3">
      <c r="A113" s="5" t="s">
        <v>76</v>
      </c>
      <c r="B113" s="5" t="s">
        <v>25</v>
      </c>
      <c r="C113" s="5" t="s">
        <v>13</v>
      </c>
      <c r="D113" s="5" t="s">
        <v>17</v>
      </c>
      <c r="E113" s="5">
        <v>697.57</v>
      </c>
      <c r="F113" s="5">
        <v>17</v>
      </c>
      <c r="G113" s="5">
        <v>0.1</v>
      </c>
      <c r="H113" s="6">
        <v>45584</v>
      </c>
      <c r="I113" s="5">
        <v>313.91000000000003</v>
      </c>
      <c r="J113">
        <f t="shared" si="3"/>
        <v>11858.69</v>
      </c>
      <c r="K113" s="17">
        <f t="shared" ca="1" si="2"/>
        <v>46028.943489351848</v>
      </c>
    </row>
    <row r="114" spans="1:11" ht="15.75" customHeight="1" x14ac:dyDescent="0.3">
      <c r="A114" s="5" t="s">
        <v>48</v>
      </c>
      <c r="B114" s="5" t="s">
        <v>73</v>
      </c>
      <c r="C114" s="5" t="s">
        <v>13</v>
      </c>
      <c r="D114" s="5" t="s">
        <v>29</v>
      </c>
      <c r="E114" s="5">
        <v>1193.6099999999999</v>
      </c>
      <c r="F114" s="5">
        <v>1</v>
      </c>
      <c r="G114" s="5">
        <v>0.15</v>
      </c>
      <c r="H114" s="6">
        <v>45584</v>
      </c>
      <c r="I114" s="5">
        <v>355.1</v>
      </c>
      <c r="J114">
        <f t="shared" si="3"/>
        <v>1193.6099999999999</v>
      </c>
      <c r="K114" s="17">
        <f t="shared" ca="1" si="2"/>
        <v>46028.943489351848</v>
      </c>
    </row>
    <row r="115" spans="1:11" ht="15.75" customHeight="1" x14ac:dyDescent="0.3">
      <c r="A115" s="5" t="s">
        <v>34</v>
      </c>
      <c r="B115" s="5" t="s">
        <v>40</v>
      </c>
      <c r="C115" s="5" t="s">
        <v>22</v>
      </c>
      <c r="D115" s="5" t="s">
        <v>23</v>
      </c>
      <c r="E115" s="5">
        <v>771.02</v>
      </c>
      <c r="F115" s="5">
        <v>1</v>
      </c>
      <c r="G115" s="5">
        <v>0</v>
      </c>
      <c r="H115" s="6">
        <v>45585</v>
      </c>
      <c r="I115" s="5">
        <v>192.76</v>
      </c>
      <c r="J115">
        <f t="shared" si="3"/>
        <v>771.02</v>
      </c>
      <c r="K115" s="17">
        <f t="shared" ca="1" si="2"/>
        <v>46028.943489351848</v>
      </c>
    </row>
    <row r="116" spans="1:11" ht="15.75" customHeight="1" x14ac:dyDescent="0.3">
      <c r="A116" s="5" t="s">
        <v>69</v>
      </c>
      <c r="B116" s="5" t="s">
        <v>71</v>
      </c>
      <c r="C116" s="5" t="s">
        <v>26</v>
      </c>
      <c r="D116" s="5" t="s">
        <v>17</v>
      </c>
      <c r="E116" s="5">
        <v>661.09</v>
      </c>
      <c r="F116" s="5">
        <v>1</v>
      </c>
      <c r="G116" s="5">
        <v>0.2</v>
      </c>
      <c r="H116" s="6">
        <v>45593</v>
      </c>
      <c r="I116" s="5">
        <v>264.44</v>
      </c>
      <c r="J116">
        <f t="shared" si="3"/>
        <v>661.09</v>
      </c>
      <c r="K116" s="17">
        <f t="shared" ca="1" si="2"/>
        <v>46028.943489351848</v>
      </c>
    </row>
    <row r="117" spans="1:11" ht="15.75" customHeight="1" x14ac:dyDescent="0.3">
      <c r="A117" s="5" t="s">
        <v>15</v>
      </c>
      <c r="B117" s="5" t="s">
        <v>57</v>
      </c>
      <c r="C117" s="5" t="s">
        <v>13</v>
      </c>
      <c r="D117" s="5" t="s">
        <v>23</v>
      </c>
      <c r="E117" s="5">
        <v>688.83</v>
      </c>
      <c r="F117" s="5">
        <v>15</v>
      </c>
      <c r="G117" s="5">
        <v>0</v>
      </c>
      <c r="H117" s="6">
        <v>45595</v>
      </c>
      <c r="I117" s="5">
        <v>172.21</v>
      </c>
      <c r="J117">
        <f t="shared" si="3"/>
        <v>10332.450000000001</v>
      </c>
      <c r="K117" s="17">
        <f t="shared" ca="1" si="2"/>
        <v>46028.943489351848</v>
      </c>
    </row>
    <row r="118" spans="1:11" ht="15.75" customHeight="1" x14ac:dyDescent="0.3">
      <c r="A118" s="5" t="s">
        <v>75</v>
      </c>
      <c r="B118" s="5" t="s">
        <v>31</v>
      </c>
      <c r="C118" s="5" t="s">
        <v>36</v>
      </c>
      <c r="D118" s="5" t="s">
        <v>14</v>
      </c>
      <c r="E118" s="5">
        <v>1249.0999999999999</v>
      </c>
      <c r="F118" s="5">
        <v>4</v>
      </c>
      <c r="G118" s="5">
        <v>0.05</v>
      </c>
      <c r="H118" s="6">
        <v>45597</v>
      </c>
      <c r="I118" s="5">
        <v>474.66</v>
      </c>
      <c r="J118">
        <f t="shared" si="3"/>
        <v>4996.3999999999996</v>
      </c>
      <c r="K118" s="17">
        <f t="shared" ca="1" si="2"/>
        <v>46028.943489351848</v>
      </c>
    </row>
    <row r="119" spans="1:11" ht="15.75" customHeight="1" x14ac:dyDescent="0.3">
      <c r="A119" s="5" t="s">
        <v>46</v>
      </c>
      <c r="B119" s="5" t="s">
        <v>25</v>
      </c>
      <c r="C119" s="5" t="s">
        <v>20</v>
      </c>
      <c r="D119" s="5" t="s">
        <v>41</v>
      </c>
      <c r="E119" s="5">
        <v>1014.22</v>
      </c>
      <c r="F119" s="5">
        <v>14</v>
      </c>
      <c r="G119" s="5">
        <v>0.05</v>
      </c>
      <c r="H119" s="6">
        <v>45599</v>
      </c>
      <c r="I119" s="5">
        <v>433.58</v>
      </c>
      <c r="J119">
        <f t="shared" si="3"/>
        <v>14199.08</v>
      </c>
      <c r="K119" s="17">
        <f t="shared" ca="1" si="2"/>
        <v>46028.943489351848</v>
      </c>
    </row>
    <row r="120" spans="1:11" ht="15.75" customHeight="1" x14ac:dyDescent="0.3">
      <c r="A120" s="5" t="s">
        <v>56</v>
      </c>
      <c r="B120" s="5" t="s">
        <v>50</v>
      </c>
      <c r="C120" s="5" t="s">
        <v>20</v>
      </c>
      <c r="D120" s="5" t="s">
        <v>14</v>
      </c>
      <c r="E120" s="5">
        <v>1010.58</v>
      </c>
      <c r="F120" s="5">
        <v>2</v>
      </c>
      <c r="G120" s="5">
        <v>0.15</v>
      </c>
      <c r="H120" s="6">
        <v>45605</v>
      </c>
      <c r="I120" s="5">
        <v>343.6</v>
      </c>
      <c r="J120">
        <f t="shared" si="3"/>
        <v>2021.16</v>
      </c>
      <c r="K120" s="17">
        <f t="shared" ca="1" si="2"/>
        <v>46028.943489351848</v>
      </c>
    </row>
    <row r="121" spans="1:11" ht="15.75" customHeight="1" x14ac:dyDescent="0.3">
      <c r="A121" s="5" t="s">
        <v>32</v>
      </c>
      <c r="B121" s="5" t="s">
        <v>61</v>
      </c>
      <c r="C121" s="5" t="s">
        <v>26</v>
      </c>
      <c r="D121" s="5" t="s">
        <v>29</v>
      </c>
      <c r="E121" s="5">
        <v>957.29</v>
      </c>
      <c r="F121" s="5">
        <v>4</v>
      </c>
      <c r="G121" s="5">
        <v>0.05</v>
      </c>
      <c r="H121" s="6">
        <v>45605</v>
      </c>
      <c r="I121" s="5">
        <v>318.3</v>
      </c>
      <c r="J121">
        <f t="shared" si="3"/>
        <v>3829.16</v>
      </c>
      <c r="K121" s="17">
        <f t="shared" ca="1" si="2"/>
        <v>46028.943489351848</v>
      </c>
    </row>
    <row r="122" spans="1:11" ht="15.75" customHeight="1" x14ac:dyDescent="0.3">
      <c r="A122" s="5" t="s">
        <v>30</v>
      </c>
      <c r="B122" s="5" t="s">
        <v>47</v>
      </c>
      <c r="C122" s="5" t="s">
        <v>26</v>
      </c>
      <c r="D122" s="5" t="s">
        <v>29</v>
      </c>
      <c r="E122" s="5">
        <v>1077.92</v>
      </c>
      <c r="F122" s="5">
        <v>3</v>
      </c>
      <c r="G122" s="5">
        <v>0.05</v>
      </c>
      <c r="H122" s="6">
        <v>45608</v>
      </c>
      <c r="I122" s="5">
        <v>358.41</v>
      </c>
      <c r="J122">
        <f t="shared" si="3"/>
        <v>3233.76</v>
      </c>
      <c r="K122" s="17">
        <f t="shared" ca="1" si="2"/>
        <v>46028.943489351848</v>
      </c>
    </row>
    <row r="123" spans="1:11" ht="15.75" customHeight="1" x14ac:dyDescent="0.3">
      <c r="A123" s="5" t="s">
        <v>54</v>
      </c>
      <c r="B123" s="5" t="s">
        <v>52</v>
      </c>
      <c r="C123" s="5" t="s">
        <v>22</v>
      </c>
      <c r="D123" s="5" t="s">
        <v>17</v>
      </c>
      <c r="E123" s="5">
        <v>1163.01</v>
      </c>
      <c r="F123" s="5">
        <v>5</v>
      </c>
      <c r="G123" s="5">
        <v>0</v>
      </c>
      <c r="H123" s="6">
        <v>45611</v>
      </c>
      <c r="I123" s="5">
        <v>581.5</v>
      </c>
      <c r="J123">
        <f t="shared" si="3"/>
        <v>5815.05</v>
      </c>
      <c r="K123" s="17">
        <f t="shared" ca="1" si="2"/>
        <v>46028.943489351848</v>
      </c>
    </row>
    <row r="124" spans="1:11" ht="15.75" customHeight="1" x14ac:dyDescent="0.3">
      <c r="A124" s="5" t="s">
        <v>56</v>
      </c>
      <c r="B124" s="5" t="s">
        <v>47</v>
      </c>
      <c r="C124" s="5" t="s">
        <v>20</v>
      </c>
      <c r="D124" s="5" t="s">
        <v>41</v>
      </c>
      <c r="E124" s="5">
        <v>1014.56</v>
      </c>
      <c r="F124" s="5">
        <v>10</v>
      </c>
      <c r="G124" s="5">
        <v>0.1</v>
      </c>
      <c r="H124" s="6">
        <v>45612</v>
      </c>
      <c r="I124" s="5">
        <v>410.9</v>
      </c>
      <c r="J124">
        <f t="shared" si="3"/>
        <v>10145.599999999999</v>
      </c>
      <c r="K124" s="17">
        <f t="shared" ca="1" si="2"/>
        <v>46028.943489351848</v>
      </c>
    </row>
    <row r="125" spans="1:11" ht="15.75" customHeight="1" x14ac:dyDescent="0.3">
      <c r="A125" s="5" t="s">
        <v>11</v>
      </c>
      <c r="B125" s="5" t="s">
        <v>19</v>
      </c>
      <c r="C125" s="5" t="s">
        <v>22</v>
      </c>
      <c r="D125" s="5" t="s">
        <v>23</v>
      </c>
      <c r="E125" s="5">
        <v>718.04</v>
      </c>
      <c r="F125" s="5">
        <v>14</v>
      </c>
      <c r="G125" s="5">
        <v>0</v>
      </c>
      <c r="H125" s="6">
        <v>45613</v>
      </c>
      <c r="I125" s="5">
        <v>179.51</v>
      </c>
      <c r="J125">
        <f t="shared" si="3"/>
        <v>10052.56</v>
      </c>
      <c r="K125" s="17">
        <f t="shared" ca="1" si="2"/>
        <v>46028.943489351848</v>
      </c>
    </row>
    <row r="126" spans="1:11" ht="15.75" customHeight="1" x14ac:dyDescent="0.3">
      <c r="A126" s="5" t="s">
        <v>74</v>
      </c>
      <c r="B126" s="5" t="s">
        <v>19</v>
      </c>
      <c r="C126" s="5" t="s">
        <v>36</v>
      </c>
      <c r="D126" s="5" t="s">
        <v>17</v>
      </c>
      <c r="E126" s="5">
        <v>1277.8499999999999</v>
      </c>
      <c r="F126" s="5">
        <v>18</v>
      </c>
      <c r="G126" s="5">
        <v>0.2</v>
      </c>
      <c r="H126" s="6">
        <v>45613</v>
      </c>
      <c r="I126" s="5">
        <v>511.14</v>
      </c>
      <c r="J126">
        <f t="shared" si="3"/>
        <v>23001.3</v>
      </c>
      <c r="K126" s="17">
        <f t="shared" ca="1" si="2"/>
        <v>46028.943489351848</v>
      </c>
    </row>
    <row r="127" spans="1:11" ht="15.75" customHeight="1" x14ac:dyDescent="0.3">
      <c r="A127" s="5" t="s">
        <v>72</v>
      </c>
      <c r="B127" s="5" t="s">
        <v>25</v>
      </c>
      <c r="C127" s="5" t="s">
        <v>26</v>
      </c>
      <c r="D127" s="5" t="s">
        <v>23</v>
      </c>
      <c r="E127" s="5">
        <v>706.73</v>
      </c>
      <c r="F127" s="5">
        <v>1</v>
      </c>
      <c r="G127" s="5">
        <v>0.15</v>
      </c>
      <c r="H127" s="6">
        <v>45613</v>
      </c>
      <c r="I127" s="5">
        <v>150.18</v>
      </c>
      <c r="J127">
        <f t="shared" si="3"/>
        <v>706.73</v>
      </c>
      <c r="K127" s="17">
        <f t="shared" ca="1" si="2"/>
        <v>46028.943489351848</v>
      </c>
    </row>
    <row r="128" spans="1:11" ht="15.75" customHeight="1" x14ac:dyDescent="0.3">
      <c r="A128" s="5" t="s">
        <v>67</v>
      </c>
      <c r="B128" s="5" t="s">
        <v>52</v>
      </c>
      <c r="C128" s="5" t="s">
        <v>20</v>
      </c>
      <c r="D128" s="5" t="s">
        <v>23</v>
      </c>
      <c r="E128" s="5">
        <v>1410.59</v>
      </c>
      <c r="F128" s="5">
        <v>15</v>
      </c>
      <c r="G128" s="5">
        <v>0</v>
      </c>
      <c r="H128" s="6">
        <v>45615</v>
      </c>
      <c r="I128" s="5">
        <v>352.65</v>
      </c>
      <c r="J128">
        <f t="shared" si="3"/>
        <v>21158.85</v>
      </c>
      <c r="K128" s="17">
        <f t="shared" ca="1" si="2"/>
        <v>46028.943489351848</v>
      </c>
    </row>
    <row r="129" spans="1:11" ht="15.75" customHeight="1" x14ac:dyDescent="0.3">
      <c r="A129" s="5" t="s">
        <v>34</v>
      </c>
      <c r="B129" s="5" t="s">
        <v>63</v>
      </c>
      <c r="C129" s="5" t="s">
        <v>22</v>
      </c>
      <c r="D129" s="5" t="s">
        <v>29</v>
      </c>
      <c r="E129" s="5">
        <v>1350.33</v>
      </c>
      <c r="F129" s="5">
        <v>10</v>
      </c>
      <c r="G129" s="5">
        <v>0</v>
      </c>
      <c r="H129" s="6">
        <v>45615</v>
      </c>
      <c r="I129" s="5">
        <v>472.62</v>
      </c>
      <c r="J129">
        <f t="shared" si="3"/>
        <v>13503.3</v>
      </c>
      <c r="K129" s="17">
        <f t="shared" ca="1" si="2"/>
        <v>46028.943489351848</v>
      </c>
    </row>
    <row r="130" spans="1:11" ht="15.75" customHeight="1" x14ac:dyDescent="0.3">
      <c r="A130" s="5" t="s">
        <v>43</v>
      </c>
      <c r="B130" s="5" t="s">
        <v>47</v>
      </c>
      <c r="C130" s="5" t="s">
        <v>20</v>
      </c>
      <c r="D130" s="5" t="s">
        <v>23</v>
      </c>
      <c r="E130" s="5">
        <v>919.18</v>
      </c>
      <c r="F130" s="5">
        <v>4</v>
      </c>
      <c r="G130" s="5">
        <v>0.15</v>
      </c>
      <c r="H130" s="6">
        <v>45615</v>
      </c>
      <c r="I130" s="5">
        <v>195.33</v>
      </c>
      <c r="J130">
        <f t="shared" si="3"/>
        <v>3676.72</v>
      </c>
      <c r="K130" s="17">
        <f t="shared" ref="K130:K193" ca="1" si="4">NOW()</f>
        <v>46028.943489351848</v>
      </c>
    </row>
    <row r="131" spans="1:11" ht="15.75" customHeight="1" x14ac:dyDescent="0.3">
      <c r="A131" s="5" t="s">
        <v>76</v>
      </c>
      <c r="B131" s="5" t="s">
        <v>25</v>
      </c>
      <c r="C131" s="5" t="s">
        <v>13</v>
      </c>
      <c r="D131" s="5" t="s">
        <v>23</v>
      </c>
      <c r="E131" s="5">
        <v>258.51</v>
      </c>
      <c r="F131" s="5">
        <v>19</v>
      </c>
      <c r="G131" s="5">
        <v>0</v>
      </c>
      <c r="H131" s="6">
        <v>45616</v>
      </c>
      <c r="I131" s="5">
        <v>64.63</v>
      </c>
      <c r="J131">
        <f t="shared" ref="J131:J194" si="5">E131*F131</f>
        <v>4911.6899999999996</v>
      </c>
      <c r="K131" s="17">
        <f t="shared" ca="1" si="4"/>
        <v>46028.943489351848</v>
      </c>
    </row>
    <row r="132" spans="1:11" ht="15.75" customHeight="1" x14ac:dyDescent="0.3">
      <c r="A132" s="5" t="s">
        <v>65</v>
      </c>
      <c r="B132" s="5" t="s">
        <v>63</v>
      </c>
      <c r="C132" s="5" t="s">
        <v>20</v>
      </c>
      <c r="D132" s="5" t="s">
        <v>14</v>
      </c>
      <c r="E132" s="5">
        <v>1213.48</v>
      </c>
      <c r="F132" s="5">
        <v>5</v>
      </c>
      <c r="G132" s="5">
        <v>0.05</v>
      </c>
      <c r="H132" s="6">
        <v>45616</v>
      </c>
      <c r="I132" s="5">
        <v>461.12</v>
      </c>
      <c r="J132">
        <f t="shared" si="5"/>
        <v>6067.4</v>
      </c>
      <c r="K132" s="17">
        <f t="shared" ca="1" si="4"/>
        <v>46028.943489351848</v>
      </c>
    </row>
    <row r="133" spans="1:11" ht="15.75" customHeight="1" x14ac:dyDescent="0.3">
      <c r="A133" s="5" t="s">
        <v>59</v>
      </c>
      <c r="B133" s="5" t="s">
        <v>40</v>
      </c>
      <c r="C133" s="5" t="s">
        <v>36</v>
      </c>
      <c r="D133" s="5" t="s">
        <v>14</v>
      </c>
      <c r="E133" s="5">
        <v>1150.28</v>
      </c>
      <c r="F133" s="5">
        <v>8</v>
      </c>
      <c r="G133" s="5">
        <v>0.05</v>
      </c>
      <c r="H133" s="6">
        <v>45622</v>
      </c>
      <c r="I133" s="5">
        <v>437.11</v>
      </c>
      <c r="J133">
        <f t="shared" si="5"/>
        <v>9202.24</v>
      </c>
      <c r="K133" s="17">
        <f t="shared" ca="1" si="4"/>
        <v>46028.943489351848</v>
      </c>
    </row>
    <row r="134" spans="1:11" ht="15.75" customHeight="1" x14ac:dyDescent="0.3">
      <c r="A134" s="5" t="s">
        <v>39</v>
      </c>
      <c r="B134" s="5" t="s">
        <v>73</v>
      </c>
      <c r="C134" s="5" t="s">
        <v>22</v>
      </c>
      <c r="D134" s="5" t="s">
        <v>29</v>
      </c>
      <c r="E134" s="5">
        <v>853.86</v>
      </c>
      <c r="F134" s="5">
        <v>8</v>
      </c>
      <c r="G134" s="5">
        <v>0.1</v>
      </c>
      <c r="H134" s="6">
        <v>45622</v>
      </c>
      <c r="I134" s="5">
        <v>268.97000000000003</v>
      </c>
      <c r="J134">
        <f t="shared" si="5"/>
        <v>6830.88</v>
      </c>
      <c r="K134" s="17">
        <f t="shared" ca="1" si="4"/>
        <v>46028.943489351848</v>
      </c>
    </row>
    <row r="135" spans="1:11" ht="15.75" customHeight="1" x14ac:dyDescent="0.3">
      <c r="A135" s="5" t="s">
        <v>77</v>
      </c>
      <c r="B135" s="5" t="s">
        <v>47</v>
      </c>
      <c r="C135" s="5" t="s">
        <v>22</v>
      </c>
      <c r="D135" s="5" t="s">
        <v>23</v>
      </c>
      <c r="E135" s="5">
        <v>1061.04</v>
      </c>
      <c r="F135" s="5">
        <v>1</v>
      </c>
      <c r="G135" s="5">
        <v>0</v>
      </c>
      <c r="H135" s="6">
        <v>45624</v>
      </c>
      <c r="I135" s="5">
        <v>265.26</v>
      </c>
      <c r="J135">
        <f t="shared" si="5"/>
        <v>1061.04</v>
      </c>
      <c r="K135" s="17">
        <f t="shared" ca="1" si="4"/>
        <v>46028.943489351848</v>
      </c>
    </row>
    <row r="136" spans="1:11" ht="15.75" customHeight="1" x14ac:dyDescent="0.3">
      <c r="A136" s="5" t="s">
        <v>30</v>
      </c>
      <c r="B136" s="5" t="s">
        <v>45</v>
      </c>
      <c r="C136" s="5" t="s">
        <v>13</v>
      </c>
      <c r="D136" s="5" t="s">
        <v>23</v>
      </c>
      <c r="E136" s="5">
        <v>894.55</v>
      </c>
      <c r="F136" s="5">
        <v>19</v>
      </c>
      <c r="G136" s="5">
        <v>0.2</v>
      </c>
      <c r="H136" s="6">
        <v>45625</v>
      </c>
      <c r="I136" s="5">
        <v>178.91</v>
      </c>
      <c r="J136">
        <f t="shared" si="5"/>
        <v>16996.45</v>
      </c>
      <c r="K136" s="17">
        <f t="shared" ca="1" si="4"/>
        <v>46028.943489351848</v>
      </c>
    </row>
    <row r="137" spans="1:11" ht="15.75" customHeight="1" x14ac:dyDescent="0.3">
      <c r="A137" s="5" t="s">
        <v>27</v>
      </c>
      <c r="B137" s="5" t="s">
        <v>40</v>
      </c>
      <c r="C137" s="5" t="s">
        <v>26</v>
      </c>
      <c r="D137" s="5" t="s">
        <v>41</v>
      </c>
      <c r="E137" s="5">
        <v>833.91</v>
      </c>
      <c r="F137" s="5">
        <v>3</v>
      </c>
      <c r="G137" s="5">
        <v>0.05</v>
      </c>
      <c r="H137" s="6">
        <v>45626</v>
      </c>
      <c r="I137" s="5">
        <v>356.5</v>
      </c>
      <c r="J137">
        <f t="shared" si="5"/>
        <v>2501.73</v>
      </c>
      <c r="K137" s="17">
        <f t="shared" ca="1" si="4"/>
        <v>46028.943489351848</v>
      </c>
    </row>
    <row r="138" spans="1:11" ht="15.75" customHeight="1" x14ac:dyDescent="0.3">
      <c r="A138" s="5" t="s">
        <v>60</v>
      </c>
      <c r="B138" s="5" t="s">
        <v>73</v>
      </c>
      <c r="C138" s="5" t="s">
        <v>13</v>
      </c>
      <c r="D138" s="5" t="s">
        <v>29</v>
      </c>
      <c r="E138" s="5">
        <v>820.19</v>
      </c>
      <c r="F138" s="5">
        <v>4</v>
      </c>
      <c r="G138" s="5">
        <v>0.2</v>
      </c>
      <c r="H138" s="6">
        <v>45630</v>
      </c>
      <c r="I138" s="5">
        <v>229.65</v>
      </c>
      <c r="J138">
        <f t="shared" si="5"/>
        <v>3280.76</v>
      </c>
      <c r="K138" s="17">
        <f t="shared" ca="1" si="4"/>
        <v>46028.943489351848</v>
      </c>
    </row>
    <row r="139" spans="1:11" ht="15.75" customHeight="1" x14ac:dyDescent="0.3">
      <c r="A139" s="5" t="s">
        <v>60</v>
      </c>
      <c r="B139" s="5" t="s">
        <v>40</v>
      </c>
      <c r="C139" s="5" t="s">
        <v>36</v>
      </c>
      <c r="D139" s="5" t="s">
        <v>23</v>
      </c>
      <c r="E139" s="5">
        <v>511.74</v>
      </c>
      <c r="F139" s="5">
        <v>8</v>
      </c>
      <c r="G139" s="5">
        <v>0.05</v>
      </c>
      <c r="H139" s="6">
        <v>45631</v>
      </c>
      <c r="I139" s="5">
        <v>121.54</v>
      </c>
      <c r="J139">
        <f t="shared" si="5"/>
        <v>4093.92</v>
      </c>
      <c r="K139" s="17">
        <f t="shared" ca="1" si="4"/>
        <v>46028.943489351848</v>
      </c>
    </row>
    <row r="140" spans="1:11" ht="15.75" customHeight="1" x14ac:dyDescent="0.3">
      <c r="A140" s="5" t="s">
        <v>67</v>
      </c>
      <c r="B140" s="5" t="s">
        <v>63</v>
      </c>
      <c r="C140" s="5" t="s">
        <v>22</v>
      </c>
      <c r="D140" s="5" t="s">
        <v>29</v>
      </c>
      <c r="E140" s="5">
        <v>806.03</v>
      </c>
      <c r="F140" s="5">
        <v>19</v>
      </c>
      <c r="G140" s="5">
        <v>0.05</v>
      </c>
      <c r="H140" s="6">
        <v>45638</v>
      </c>
      <c r="I140" s="5">
        <v>268</v>
      </c>
      <c r="J140">
        <f t="shared" si="5"/>
        <v>15314.57</v>
      </c>
      <c r="K140" s="17">
        <f t="shared" ca="1" si="4"/>
        <v>46028.943489351848</v>
      </c>
    </row>
    <row r="141" spans="1:11" ht="15.75" customHeight="1" x14ac:dyDescent="0.3">
      <c r="A141" s="5" t="s">
        <v>30</v>
      </c>
      <c r="B141" s="5" t="s">
        <v>28</v>
      </c>
      <c r="C141" s="5" t="s">
        <v>36</v>
      </c>
      <c r="D141" s="5" t="s">
        <v>29</v>
      </c>
      <c r="E141" s="5">
        <v>1432.47</v>
      </c>
      <c r="F141" s="5">
        <v>16</v>
      </c>
      <c r="G141" s="5">
        <v>0.15</v>
      </c>
      <c r="H141" s="6">
        <v>45640</v>
      </c>
      <c r="I141" s="5">
        <v>426.16</v>
      </c>
      <c r="J141">
        <f t="shared" si="5"/>
        <v>22919.52</v>
      </c>
      <c r="K141" s="17">
        <f t="shared" ca="1" si="4"/>
        <v>46028.943489351848</v>
      </c>
    </row>
    <row r="142" spans="1:11" ht="15.75" customHeight="1" x14ac:dyDescent="0.3">
      <c r="A142" s="5" t="s">
        <v>76</v>
      </c>
      <c r="B142" s="5" t="s">
        <v>31</v>
      </c>
      <c r="C142" s="5" t="s">
        <v>36</v>
      </c>
      <c r="D142" s="5" t="s">
        <v>23</v>
      </c>
      <c r="E142" s="5">
        <v>1488.58</v>
      </c>
      <c r="F142" s="5">
        <v>10</v>
      </c>
      <c r="G142" s="5">
        <v>0.15</v>
      </c>
      <c r="H142" s="6">
        <v>45640</v>
      </c>
      <c r="I142" s="5">
        <v>316.32</v>
      </c>
      <c r="J142">
        <f t="shared" si="5"/>
        <v>14885.8</v>
      </c>
      <c r="K142" s="17">
        <f t="shared" ca="1" si="4"/>
        <v>46028.943489351848</v>
      </c>
    </row>
    <row r="143" spans="1:11" ht="15.75" customHeight="1" x14ac:dyDescent="0.3">
      <c r="A143" s="5" t="s">
        <v>32</v>
      </c>
      <c r="B143" s="5" t="s">
        <v>68</v>
      </c>
      <c r="C143" s="5" t="s">
        <v>20</v>
      </c>
      <c r="D143" s="5" t="s">
        <v>14</v>
      </c>
      <c r="E143" s="5">
        <v>1231.26</v>
      </c>
      <c r="F143" s="5">
        <v>9</v>
      </c>
      <c r="G143" s="5">
        <v>0</v>
      </c>
      <c r="H143" s="6">
        <v>45646</v>
      </c>
      <c r="I143" s="5">
        <v>492.5</v>
      </c>
      <c r="J143">
        <f t="shared" si="5"/>
        <v>11081.34</v>
      </c>
      <c r="K143" s="17">
        <f t="shared" ca="1" si="4"/>
        <v>46028.943489351848</v>
      </c>
    </row>
    <row r="144" spans="1:11" ht="15.75" customHeight="1" x14ac:dyDescent="0.3">
      <c r="A144" s="5" t="s">
        <v>32</v>
      </c>
      <c r="B144" s="5" t="s">
        <v>45</v>
      </c>
      <c r="C144" s="5" t="s">
        <v>13</v>
      </c>
      <c r="D144" s="5" t="s">
        <v>23</v>
      </c>
      <c r="E144" s="5">
        <v>1161.67</v>
      </c>
      <c r="F144" s="5">
        <v>19</v>
      </c>
      <c r="G144" s="5">
        <v>0.2</v>
      </c>
      <c r="H144" s="6">
        <v>45647</v>
      </c>
      <c r="I144" s="5">
        <v>232.33</v>
      </c>
      <c r="J144">
        <f t="shared" si="5"/>
        <v>22071.730000000003</v>
      </c>
      <c r="K144" s="17">
        <f t="shared" ca="1" si="4"/>
        <v>46028.943489351848</v>
      </c>
    </row>
    <row r="145" spans="1:11" ht="15.75" customHeight="1" x14ac:dyDescent="0.3">
      <c r="A145" s="5" t="s">
        <v>51</v>
      </c>
      <c r="B145" s="5" t="s">
        <v>47</v>
      </c>
      <c r="C145" s="5" t="s">
        <v>36</v>
      </c>
      <c r="D145" s="5" t="s">
        <v>41</v>
      </c>
      <c r="E145" s="5">
        <v>388.23</v>
      </c>
      <c r="F145" s="5">
        <v>16</v>
      </c>
      <c r="G145" s="5">
        <v>0.05</v>
      </c>
      <c r="H145" s="6">
        <v>45650</v>
      </c>
      <c r="I145" s="5">
        <v>165.97</v>
      </c>
      <c r="J145">
        <f t="shared" si="5"/>
        <v>6211.68</v>
      </c>
      <c r="K145" s="17">
        <f t="shared" ca="1" si="4"/>
        <v>46028.943489351848</v>
      </c>
    </row>
    <row r="146" spans="1:11" ht="15.75" customHeight="1" x14ac:dyDescent="0.3">
      <c r="A146" s="5" t="s">
        <v>74</v>
      </c>
      <c r="B146" s="5" t="s">
        <v>33</v>
      </c>
      <c r="C146" s="5" t="s">
        <v>26</v>
      </c>
      <c r="D146" s="5" t="s">
        <v>17</v>
      </c>
      <c r="E146" s="5">
        <v>1589.42</v>
      </c>
      <c r="F146" s="5">
        <v>6</v>
      </c>
      <c r="G146" s="5">
        <v>0.15</v>
      </c>
      <c r="H146" s="6">
        <v>45651</v>
      </c>
      <c r="I146" s="5">
        <v>675.5</v>
      </c>
      <c r="J146">
        <f t="shared" si="5"/>
        <v>9536.52</v>
      </c>
      <c r="K146" s="17">
        <f t="shared" ca="1" si="4"/>
        <v>46028.943489351848</v>
      </c>
    </row>
    <row r="147" spans="1:11" ht="15.75" customHeight="1" x14ac:dyDescent="0.3">
      <c r="A147" s="5" t="s">
        <v>30</v>
      </c>
      <c r="B147" s="5" t="s">
        <v>73</v>
      </c>
      <c r="C147" s="5" t="s">
        <v>26</v>
      </c>
      <c r="D147" s="5" t="s">
        <v>17</v>
      </c>
      <c r="E147" s="5">
        <v>336.66</v>
      </c>
      <c r="F147" s="5">
        <v>13</v>
      </c>
      <c r="G147" s="5">
        <v>0.2</v>
      </c>
      <c r="H147" s="6">
        <v>45651</v>
      </c>
      <c r="I147" s="5">
        <v>134.66</v>
      </c>
      <c r="J147">
        <f t="shared" si="5"/>
        <v>4376.58</v>
      </c>
      <c r="K147" s="17">
        <f t="shared" ca="1" si="4"/>
        <v>46028.943489351848</v>
      </c>
    </row>
    <row r="148" spans="1:11" ht="15.75" customHeight="1" x14ac:dyDescent="0.3">
      <c r="A148" s="5" t="s">
        <v>51</v>
      </c>
      <c r="B148" s="5" t="s">
        <v>25</v>
      </c>
      <c r="C148" s="5" t="s">
        <v>13</v>
      </c>
      <c r="D148" s="5" t="s">
        <v>14</v>
      </c>
      <c r="E148" s="5">
        <v>1353.79</v>
      </c>
      <c r="F148" s="5">
        <v>14</v>
      </c>
      <c r="G148" s="5">
        <v>0.1</v>
      </c>
      <c r="H148" s="6">
        <v>45656</v>
      </c>
      <c r="I148" s="5">
        <v>487.36</v>
      </c>
      <c r="J148">
        <f t="shared" si="5"/>
        <v>18953.059999999998</v>
      </c>
      <c r="K148" s="17">
        <f t="shared" ca="1" si="4"/>
        <v>46028.943489351848</v>
      </c>
    </row>
    <row r="149" spans="1:11" ht="15.75" customHeight="1" x14ac:dyDescent="0.3">
      <c r="A149" s="5" t="s">
        <v>65</v>
      </c>
      <c r="B149" s="5" t="s">
        <v>71</v>
      </c>
      <c r="C149" s="5" t="s">
        <v>36</v>
      </c>
      <c r="D149" s="5" t="s">
        <v>17</v>
      </c>
      <c r="E149" s="5">
        <v>662.61</v>
      </c>
      <c r="F149" s="5">
        <v>11</v>
      </c>
      <c r="G149" s="5">
        <v>0.05</v>
      </c>
      <c r="H149" s="6">
        <v>45658</v>
      </c>
      <c r="I149" s="5">
        <v>314.74</v>
      </c>
      <c r="J149">
        <f t="shared" si="5"/>
        <v>7288.71</v>
      </c>
      <c r="K149" s="17">
        <f t="shared" ca="1" si="4"/>
        <v>46028.943489351848</v>
      </c>
    </row>
    <row r="150" spans="1:11" ht="15.75" customHeight="1" x14ac:dyDescent="0.3">
      <c r="A150" s="5" t="s">
        <v>54</v>
      </c>
      <c r="B150" s="5" t="s">
        <v>50</v>
      </c>
      <c r="C150" s="5" t="s">
        <v>26</v>
      </c>
      <c r="D150" s="5" t="s">
        <v>41</v>
      </c>
      <c r="E150" s="5">
        <v>309.42</v>
      </c>
      <c r="F150" s="5">
        <v>1</v>
      </c>
      <c r="G150" s="5">
        <v>0.2</v>
      </c>
      <c r="H150" s="6">
        <v>45658</v>
      </c>
      <c r="I150" s="5">
        <v>111.39</v>
      </c>
      <c r="J150">
        <f t="shared" si="5"/>
        <v>309.42</v>
      </c>
      <c r="K150" s="17">
        <f t="shared" ca="1" si="4"/>
        <v>46028.943489351848</v>
      </c>
    </row>
    <row r="151" spans="1:11" ht="15.75" customHeight="1" x14ac:dyDescent="0.3">
      <c r="A151" s="5" t="s">
        <v>65</v>
      </c>
      <c r="B151" s="5" t="s">
        <v>31</v>
      </c>
      <c r="C151" s="5" t="s">
        <v>26</v>
      </c>
      <c r="D151" s="5" t="s">
        <v>14</v>
      </c>
      <c r="E151" s="5">
        <v>884.63</v>
      </c>
      <c r="F151" s="5">
        <v>18</v>
      </c>
      <c r="G151" s="5">
        <v>0.1</v>
      </c>
      <c r="H151" s="6">
        <v>45659</v>
      </c>
      <c r="I151" s="5">
        <v>318.47000000000003</v>
      </c>
      <c r="J151">
        <f t="shared" si="5"/>
        <v>15923.34</v>
      </c>
      <c r="K151" s="17">
        <f t="shared" ca="1" si="4"/>
        <v>46028.943489351848</v>
      </c>
    </row>
    <row r="152" spans="1:11" ht="15.75" customHeight="1" x14ac:dyDescent="0.3">
      <c r="A152" s="5" t="s">
        <v>54</v>
      </c>
      <c r="B152" s="5" t="s">
        <v>25</v>
      </c>
      <c r="C152" s="5" t="s">
        <v>36</v>
      </c>
      <c r="D152" s="5" t="s">
        <v>41</v>
      </c>
      <c r="E152" s="5">
        <v>745.05</v>
      </c>
      <c r="F152" s="5">
        <v>10</v>
      </c>
      <c r="G152" s="5">
        <v>0.1</v>
      </c>
      <c r="H152" s="6">
        <v>45660</v>
      </c>
      <c r="I152" s="5">
        <v>301.75</v>
      </c>
      <c r="J152">
        <f t="shared" si="5"/>
        <v>7450.5</v>
      </c>
      <c r="K152" s="17">
        <f t="shared" ca="1" si="4"/>
        <v>46028.943489351848</v>
      </c>
    </row>
    <row r="153" spans="1:11" ht="15.75" customHeight="1" x14ac:dyDescent="0.3">
      <c r="A153" s="5" t="s">
        <v>62</v>
      </c>
      <c r="B153" s="5" t="s">
        <v>19</v>
      </c>
      <c r="C153" s="5" t="s">
        <v>22</v>
      </c>
      <c r="D153" s="5" t="s">
        <v>17</v>
      </c>
      <c r="E153" s="5">
        <v>870.23</v>
      </c>
      <c r="F153" s="5">
        <v>5</v>
      </c>
      <c r="G153" s="5">
        <v>0.05</v>
      </c>
      <c r="H153" s="6">
        <v>45660</v>
      </c>
      <c r="I153" s="5">
        <v>413.36</v>
      </c>
      <c r="J153">
        <f t="shared" si="5"/>
        <v>4351.1499999999996</v>
      </c>
      <c r="K153" s="17">
        <f t="shared" ca="1" si="4"/>
        <v>46028.943489351848</v>
      </c>
    </row>
    <row r="154" spans="1:11" ht="15.75" customHeight="1" x14ac:dyDescent="0.3">
      <c r="A154" s="5" t="s">
        <v>37</v>
      </c>
      <c r="B154" s="5" t="s">
        <v>31</v>
      </c>
      <c r="C154" s="5" t="s">
        <v>13</v>
      </c>
      <c r="D154" s="5" t="s">
        <v>29</v>
      </c>
      <c r="E154" s="5">
        <v>862.19</v>
      </c>
      <c r="F154" s="5">
        <v>18</v>
      </c>
      <c r="G154" s="5">
        <v>0.05</v>
      </c>
      <c r="H154" s="6">
        <v>45663</v>
      </c>
      <c r="I154" s="5">
        <v>286.68</v>
      </c>
      <c r="J154">
        <f t="shared" si="5"/>
        <v>15519.420000000002</v>
      </c>
      <c r="K154" s="17">
        <f t="shared" ca="1" si="4"/>
        <v>46028.943489351848</v>
      </c>
    </row>
    <row r="155" spans="1:11" ht="15.75" customHeight="1" x14ac:dyDescent="0.3">
      <c r="A155" s="5" t="s">
        <v>75</v>
      </c>
      <c r="B155" s="5" t="s">
        <v>61</v>
      </c>
      <c r="C155" s="5" t="s">
        <v>26</v>
      </c>
      <c r="D155" s="5" t="s">
        <v>17</v>
      </c>
      <c r="E155" s="5">
        <v>1171.18</v>
      </c>
      <c r="F155" s="5">
        <v>19</v>
      </c>
      <c r="G155" s="5">
        <v>0.05</v>
      </c>
      <c r="H155" s="6">
        <v>45667</v>
      </c>
      <c r="I155" s="5">
        <v>556.30999999999995</v>
      </c>
      <c r="J155">
        <f t="shared" si="5"/>
        <v>22252.420000000002</v>
      </c>
      <c r="K155" s="17">
        <f t="shared" ca="1" si="4"/>
        <v>46028.943489351848</v>
      </c>
    </row>
    <row r="156" spans="1:11" ht="15.75" customHeight="1" x14ac:dyDescent="0.3">
      <c r="A156" s="5" t="s">
        <v>60</v>
      </c>
      <c r="B156" s="5" t="s">
        <v>16</v>
      </c>
      <c r="C156" s="5" t="s">
        <v>22</v>
      </c>
      <c r="D156" s="5" t="s">
        <v>29</v>
      </c>
      <c r="E156" s="5">
        <v>1054.56</v>
      </c>
      <c r="F156" s="5">
        <v>11</v>
      </c>
      <c r="G156" s="5">
        <v>0.1</v>
      </c>
      <c r="H156" s="6">
        <v>45669</v>
      </c>
      <c r="I156" s="5">
        <v>332.19</v>
      </c>
      <c r="J156">
        <f t="shared" si="5"/>
        <v>11600.16</v>
      </c>
      <c r="K156" s="17">
        <f t="shared" ca="1" si="4"/>
        <v>46028.943489351848</v>
      </c>
    </row>
    <row r="157" spans="1:11" ht="15.75" customHeight="1" x14ac:dyDescent="0.3">
      <c r="A157" s="5" t="s">
        <v>60</v>
      </c>
      <c r="B157" s="5" t="s">
        <v>25</v>
      </c>
      <c r="C157" s="5" t="s">
        <v>26</v>
      </c>
      <c r="D157" s="5" t="s">
        <v>23</v>
      </c>
      <c r="E157" s="5">
        <v>1681.21</v>
      </c>
      <c r="F157" s="5">
        <v>5</v>
      </c>
      <c r="G157" s="5">
        <v>0.2</v>
      </c>
      <c r="H157" s="6">
        <v>45670</v>
      </c>
      <c r="I157" s="5">
        <v>336.24</v>
      </c>
      <c r="J157">
        <f t="shared" si="5"/>
        <v>8406.0499999999993</v>
      </c>
      <c r="K157" s="17">
        <f t="shared" ca="1" si="4"/>
        <v>46028.943489351848</v>
      </c>
    </row>
    <row r="158" spans="1:11" ht="15.75" customHeight="1" x14ac:dyDescent="0.3">
      <c r="A158" s="5" t="s">
        <v>60</v>
      </c>
      <c r="B158" s="5" t="s">
        <v>38</v>
      </c>
      <c r="C158" s="5" t="s">
        <v>13</v>
      </c>
      <c r="D158" s="5" t="s">
        <v>17</v>
      </c>
      <c r="E158" s="5">
        <v>379.77</v>
      </c>
      <c r="F158" s="5">
        <v>9</v>
      </c>
      <c r="G158" s="5">
        <v>0.05</v>
      </c>
      <c r="H158" s="6">
        <v>45673</v>
      </c>
      <c r="I158" s="5">
        <v>180.39</v>
      </c>
      <c r="J158">
        <f t="shared" si="5"/>
        <v>3417.93</v>
      </c>
      <c r="K158" s="17">
        <f t="shared" ca="1" si="4"/>
        <v>46028.943489351848</v>
      </c>
    </row>
    <row r="159" spans="1:11" ht="15.75" customHeight="1" x14ac:dyDescent="0.3">
      <c r="A159" s="5" t="s">
        <v>46</v>
      </c>
      <c r="B159" s="5" t="s">
        <v>47</v>
      </c>
      <c r="C159" s="5" t="s">
        <v>36</v>
      </c>
      <c r="D159" s="5" t="s">
        <v>17</v>
      </c>
      <c r="E159" s="5">
        <v>1076.33</v>
      </c>
      <c r="F159" s="5">
        <v>2</v>
      </c>
      <c r="G159" s="5">
        <v>0.1</v>
      </c>
      <c r="H159" s="6">
        <v>45674</v>
      </c>
      <c r="I159" s="5">
        <v>484.35</v>
      </c>
      <c r="J159">
        <f t="shared" si="5"/>
        <v>2152.66</v>
      </c>
      <c r="K159" s="17">
        <f t="shared" ca="1" si="4"/>
        <v>46028.943489351848</v>
      </c>
    </row>
    <row r="160" spans="1:11" ht="15.75" customHeight="1" x14ac:dyDescent="0.3">
      <c r="A160" s="5" t="s">
        <v>46</v>
      </c>
      <c r="B160" s="5" t="s">
        <v>33</v>
      </c>
      <c r="C160" s="5" t="s">
        <v>36</v>
      </c>
      <c r="D160" s="5" t="s">
        <v>41</v>
      </c>
      <c r="E160" s="5">
        <v>1250.71</v>
      </c>
      <c r="F160" s="5">
        <v>7</v>
      </c>
      <c r="G160" s="5">
        <v>0</v>
      </c>
      <c r="H160" s="6">
        <v>45674</v>
      </c>
      <c r="I160" s="5">
        <v>562.82000000000005</v>
      </c>
      <c r="J160">
        <f t="shared" si="5"/>
        <v>8754.9700000000012</v>
      </c>
      <c r="K160" s="17">
        <f t="shared" ca="1" si="4"/>
        <v>46028.943489351848</v>
      </c>
    </row>
    <row r="161" spans="1:11" ht="15.75" customHeight="1" x14ac:dyDescent="0.3">
      <c r="A161" s="5" t="s">
        <v>42</v>
      </c>
      <c r="B161" s="5" t="s">
        <v>19</v>
      </c>
      <c r="C161" s="5" t="s">
        <v>22</v>
      </c>
      <c r="D161" s="5" t="s">
        <v>17</v>
      </c>
      <c r="E161" s="5">
        <v>1118.3399999999999</v>
      </c>
      <c r="F161" s="5">
        <v>6</v>
      </c>
      <c r="G161" s="5">
        <v>0.2</v>
      </c>
      <c r="H161" s="6">
        <v>45674</v>
      </c>
      <c r="I161" s="5">
        <v>447.34</v>
      </c>
      <c r="J161">
        <f t="shared" si="5"/>
        <v>6710.0399999999991</v>
      </c>
      <c r="K161" s="17">
        <f t="shared" ca="1" si="4"/>
        <v>46028.943489351848</v>
      </c>
    </row>
    <row r="162" spans="1:11" ht="15.75" customHeight="1" x14ac:dyDescent="0.3">
      <c r="A162" s="5" t="s">
        <v>72</v>
      </c>
      <c r="B162" s="5" t="s">
        <v>55</v>
      </c>
      <c r="C162" s="5" t="s">
        <v>26</v>
      </c>
      <c r="D162" s="5" t="s">
        <v>17</v>
      </c>
      <c r="E162" s="5">
        <v>1622.62</v>
      </c>
      <c r="F162" s="5">
        <v>12</v>
      </c>
      <c r="G162" s="5">
        <v>0.2</v>
      </c>
      <c r="H162" s="6">
        <v>45677</v>
      </c>
      <c r="I162" s="5">
        <v>649.04999999999995</v>
      </c>
      <c r="J162">
        <f t="shared" si="5"/>
        <v>19471.439999999999</v>
      </c>
      <c r="K162" s="17">
        <f t="shared" ca="1" si="4"/>
        <v>46028.943489351848</v>
      </c>
    </row>
    <row r="163" spans="1:11" ht="15.75" customHeight="1" x14ac:dyDescent="0.3">
      <c r="A163" s="5" t="s">
        <v>77</v>
      </c>
      <c r="B163" s="5" t="s">
        <v>50</v>
      </c>
      <c r="C163" s="5" t="s">
        <v>26</v>
      </c>
      <c r="D163" s="5" t="s">
        <v>14</v>
      </c>
      <c r="E163" s="5">
        <v>640.64</v>
      </c>
      <c r="F163" s="5">
        <v>11</v>
      </c>
      <c r="G163" s="5">
        <v>0.2</v>
      </c>
      <c r="H163" s="6">
        <v>45678</v>
      </c>
      <c r="I163" s="5">
        <v>205</v>
      </c>
      <c r="J163">
        <f t="shared" si="5"/>
        <v>7047.04</v>
      </c>
      <c r="K163" s="17">
        <f t="shared" ca="1" si="4"/>
        <v>46028.943489351848</v>
      </c>
    </row>
    <row r="164" spans="1:11" ht="15.75" customHeight="1" x14ac:dyDescent="0.3">
      <c r="A164" s="5" t="s">
        <v>24</v>
      </c>
      <c r="B164" s="5" t="s">
        <v>45</v>
      </c>
      <c r="C164" s="5" t="s">
        <v>13</v>
      </c>
      <c r="D164" s="5" t="s">
        <v>17</v>
      </c>
      <c r="E164" s="5">
        <v>585.16</v>
      </c>
      <c r="F164" s="5">
        <v>17</v>
      </c>
      <c r="G164" s="5">
        <v>0.1</v>
      </c>
      <c r="H164" s="6">
        <v>45684</v>
      </c>
      <c r="I164" s="5">
        <v>263.32</v>
      </c>
      <c r="J164">
        <f t="shared" si="5"/>
        <v>9947.7199999999993</v>
      </c>
      <c r="K164" s="17">
        <f t="shared" ca="1" si="4"/>
        <v>46028.943489351848</v>
      </c>
    </row>
    <row r="165" spans="1:11" ht="15.75" customHeight="1" x14ac:dyDescent="0.3">
      <c r="A165" s="5" t="s">
        <v>24</v>
      </c>
      <c r="B165" s="5" t="s">
        <v>33</v>
      </c>
      <c r="C165" s="5" t="s">
        <v>20</v>
      </c>
      <c r="D165" s="5" t="s">
        <v>17</v>
      </c>
      <c r="E165" s="5">
        <v>1109.98</v>
      </c>
      <c r="F165" s="5">
        <v>5</v>
      </c>
      <c r="G165" s="5">
        <v>0.2</v>
      </c>
      <c r="H165" s="6">
        <v>45690</v>
      </c>
      <c r="I165" s="5">
        <v>443.99</v>
      </c>
      <c r="J165">
        <f t="shared" si="5"/>
        <v>5549.9</v>
      </c>
      <c r="K165" s="17">
        <f t="shared" ca="1" si="4"/>
        <v>46028.943489351848</v>
      </c>
    </row>
    <row r="166" spans="1:11" ht="15.75" customHeight="1" x14ac:dyDescent="0.3">
      <c r="A166" s="5" t="s">
        <v>60</v>
      </c>
      <c r="B166" s="5" t="s">
        <v>47</v>
      </c>
      <c r="C166" s="5" t="s">
        <v>20</v>
      </c>
      <c r="D166" s="5" t="s">
        <v>14</v>
      </c>
      <c r="E166" s="5">
        <v>1098.08</v>
      </c>
      <c r="F166" s="5">
        <v>9</v>
      </c>
      <c r="G166" s="5">
        <v>0.1</v>
      </c>
      <c r="H166" s="6">
        <v>45692</v>
      </c>
      <c r="I166" s="5">
        <v>395.31</v>
      </c>
      <c r="J166">
        <f t="shared" si="5"/>
        <v>9882.7199999999993</v>
      </c>
      <c r="K166" s="17">
        <f t="shared" ca="1" si="4"/>
        <v>46028.943489351848</v>
      </c>
    </row>
    <row r="167" spans="1:11" ht="15.75" customHeight="1" x14ac:dyDescent="0.3">
      <c r="A167" s="5" t="s">
        <v>67</v>
      </c>
      <c r="B167" s="5" t="s">
        <v>50</v>
      </c>
      <c r="C167" s="5" t="s">
        <v>13</v>
      </c>
      <c r="D167" s="5" t="s">
        <v>41</v>
      </c>
      <c r="E167" s="5">
        <v>827.25</v>
      </c>
      <c r="F167" s="5">
        <v>7</v>
      </c>
      <c r="G167" s="5">
        <v>0.1</v>
      </c>
      <c r="H167" s="6">
        <v>45693</v>
      </c>
      <c r="I167" s="5">
        <v>335.04</v>
      </c>
      <c r="J167">
        <f t="shared" si="5"/>
        <v>5790.75</v>
      </c>
      <c r="K167" s="17">
        <f t="shared" ca="1" si="4"/>
        <v>46028.943489351848</v>
      </c>
    </row>
    <row r="168" spans="1:11" ht="15.75" customHeight="1" x14ac:dyDescent="0.3">
      <c r="A168" s="5" t="s">
        <v>72</v>
      </c>
      <c r="B168" s="5" t="s">
        <v>31</v>
      </c>
      <c r="C168" s="5" t="s">
        <v>36</v>
      </c>
      <c r="D168" s="5" t="s">
        <v>17</v>
      </c>
      <c r="E168" s="5">
        <v>741.88</v>
      </c>
      <c r="F168" s="5">
        <v>16</v>
      </c>
      <c r="G168" s="5">
        <v>0.1</v>
      </c>
      <c r="H168" s="6">
        <v>45695</v>
      </c>
      <c r="I168" s="5">
        <v>333.85</v>
      </c>
      <c r="J168">
        <f t="shared" si="5"/>
        <v>11870.08</v>
      </c>
      <c r="K168" s="17">
        <f t="shared" ca="1" si="4"/>
        <v>46028.943489351848</v>
      </c>
    </row>
    <row r="169" spans="1:11" ht="15.75" customHeight="1" x14ac:dyDescent="0.3">
      <c r="A169" s="5" t="s">
        <v>74</v>
      </c>
      <c r="B169" s="5" t="s">
        <v>12</v>
      </c>
      <c r="C169" s="5" t="s">
        <v>20</v>
      </c>
      <c r="D169" s="5" t="s">
        <v>41</v>
      </c>
      <c r="E169" s="5">
        <v>1311.26</v>
      </c>
      <c r="F169" s="5">
        <v>6</v>
      </c>
      <c r="G169" s="5">
        <v>0.1</v>
      </c>
      <c r="H169" s="6">
        <v>45698</v>
      </c>
      <c r="I169" s="5">
        <v>531.05999999999995</v>
      </c>
      <c r="J169">
        <f t="shared" si="5"/>
        <v>7867.5599999999995</v>
      </c>
      <c r="K169" s="17">
        <f t="shared" ca="1" si="4"/>
        <v>46028.943489351848</v>
      </c>
    </row>
    <row r="170" spans="1:11" ht="15.75" customHeight="1" x14ac:dyDescent="0.3">
      <c r="A170" s="5" t="s">
        <v>74</v>
      </c>
      <c r="B170" s="5" t="s">
        <v>33</v>
      </c>
      <c r="C170" s="5" t="s">
        <v>22</v>
      </c>
      <c r="D170" s="5" t="s">
        <v>41</v>
      </c>
      <c r="E170" s="5">
        <v>573.32000000000005</v>
      </c>
      <c r="F170" s="5">
        <v>19</v>
      </c>
      <c r="G170" s="5">
        <v>0.1</v>
      </c>
      <c r="H170" s="6">
        <v>45703</v>
      </c>
      <c r="I170" s="5">
        <v>232.19</v>
      </c>
      <c r="J170">
        <f t="shared" si="5"/>
        <v>10893.080000000002</v>
      </c>
      <c r="K170" s="17">
        <f t="shared" ca="1" si="4"/>
        <v>46028.943489351848</v>
      </c>
    </row>
    <row r="171" spans="1:11" ht="15.75" customHeight="1" x14ac:dyDescent="0.3">
      <c r="A171" s="5" t="s">
        <v>54</v>
      </c>
      <c r="B171" s="5" t="s">
        <v>25</v>
      </c>
      <c r="C171" s="5" t="s">
        <v>13</v>
      </c>
      <c r="D171" s="5" t="s">
        <v>23</v>
      </c>
      <c r="E171" s="5">
        <v>1115.22</v>
      </c>
      <c r="F171" s="5">
        <v>14</v>
      </c>
      <c r="G171" s="5">
        <v>0.2</v>
      </c>
      <c r="H171" s="6">
        <v>45705</v>
      </c>
      <c r="I171" s="5">
        <v>223.04</v>
      </c>
      <c r="J171">
        <f t="shared" si="5"/>
        <v>15613.08</v>
      </c>
      <c r="K171" s="17">
        <f t="shared" ca="1" si="4"/>
        <v>46028.943489351848</v>
      </c>
    </row>
    <row r="172" spans="1:11" ht="15.75" customHeight="1" x14ac:dyDescent="0.3">
      <c r="A172" s="5" t="s">
        <v>15</v>
      </c>
      <c r="B172" s="5" t="s">
        <v>47</v>
      </c>
      <c r="C172" s="5" t="s">
        <v>26</v>
      </c>
      <c r="D172" s="5" t="s">
        <v>17</v>
      </c>
      <c r="E172" s="5">
        <v>845.84</v>
      </c>
      <c r="F172" s="5">
        <v>4</v>
      </c>
      <c r="G172" s="5">
        <v>0</v>
      </c>
      <c r="H172" s="6">
        <v>45707</v>
      </c>
      <c r="I172" s="5">
        <v>422.92</v>
      </c>
      <c r="J172">
        <f t="shared" si="5"/>
        <v>3383.36</v>
      </c>
      <c r="K172" s="17">
        <f t="shared" ca="1" si="4"/>
        <v>46028.943489351848</v>
      </c>
    </row>
    <row r="173" spans="1:11" ht="15.75" customHeight="1" x14ac:dyDescent="0.3">
      <c r="A173" s="5" t="s">
        <v>32</v>
      </c>
      <c r="B173" s="5" t="s">
        <v>57</v>
      </c>
      <c r="C173" s="5" t="s">
        <v>13</v>
      </c>
      <c r="D173" s="5" t="s">
        <v>23</v>
      </c>
      <c r="E173" s="5">
        <v>1029.8</v>
      </c>
      <c r="F173" s="5">
        <v>3</v>
      </c>
      <c r="G173" s="5">
        <v>0</v>
      </c>
      <c r="H173" s="6">
        <v>45708</v>
      </c>
      <c r="I173" s="5">
        <v>257.45</v>
      </c>
      <c r="J173">
        <f t="shared" si="5"/>
        <v>3089.3999999999996</v>
      </c>
      <c r="K173" s="17">
        <f t="shared" ca="1" si="4"/>
        <v>46028.943489351848</v>
      </c>
    </row>
    <row r="174" spans="1:11" ht="15.75" customHeight="1" x14ac:dyDescent="0.3">
      <c r="A174" s="5" t="s">
        <v>34</v>
      </c>
      <c r="B174" s="5" t="s">
        <v>33</v>
      </c>
      <c r="C174" s="5" t="s">
        <v>26</v>
      </c>
      <c r="D174" s="5" t="s">
        <v>14</v>
      </c>
      <c r="E174" s="5">
        <v>1189.83</v>
      </c>
      <c r="F174" s="5">
        <v>2</v>
      </c>
      <c r="G174" s="5">
        <v>0.2</v>
      </c>
      <c r="H174" s="6">
        <v>45709</v>
      </c>
      <c r="I174" s="5">
        <v>380.75</v>
      </c>
      <c r="J174">
        <f t="shared" si="5"/>
        <v>2379.66</v>
      </c>
      <c r="K174" s="17">
        <f t="shared" ca="1" si="4"/>
        <v>46028.943489351848</v>
      </c>
    </row>
    <row r="175" spans="1:11" ht="15.75" customHeight="1" x14ac:dyDescent="0.3">
      <c r="A175" s="5" t="s">
        <v>69</v>
      </c>
      <c r="B175" s="5" t="s">
        <v>45</v>
      </c>
      <c r="C175" s="5" t="s">
        <v>22</v>
      </c>
      <c r="D175" s="5" t="s">
        <v>14</v>
      </c>
      <c r="E175" s="5">
        <v>704.28</v>
      </c>
      <c r="F175" s="5">
        <v>15</v>
      </c>
      <c r="G175" s="5">
        <v>0.2</v>
      </c>
      <c r="H175" s="6">
        <v>45712</v>
      </c>
      <c r="I175" s="5">
        <v>225.37</v>
      </c>
      <c r="J175">
        <f t="shared" si="5"/>
        <v>10564.199999999999</v>
      </c>
      <c r="K175" s="17">
        <f t="shared" ca="1" si="4"/>
        <v>46028.943489351848</v>
      </c>
    </row>
    <row r="176" spans="1:11" ht="15.75" customHeight="1" x14ac:dyDescent="0.3">
      <c r="A176" s="5" t="s">
        <v>67</v>
      </c>
      <c r="B176" s="5" t="s">
        <v>49</v>
      </c>
      <c r="C176" s="5" t="s">
        <v>36</v>
      </c>
      <c r="D176" s="5" t="s">
        <v>41</v>
      </c>
      <c r="E176" s="5">
        <v>1618.22</v>
      </c>
      <c r="F176" s="5">
        <v>12</v>
      </c>
      <c r="G176" s="5">
        <v>0.2</v>
      </c>
      <c r="H176" s="6">
        <v>45712</v>
      </c>
      <c r="I176" s="5">
        <v>582.55999999999995</v>
      </c>
      <c r="J176">
        <f t="shared" si="5"/>
        <v>19418.64</v>
      </c>
      <c r="K176" s="17">
        <f t="shared" ca="1" si="4"/>
        <v>46028.943489351848</v>
      </c>
    </row>
    <row r="177" spans="1:11" ht="15.75" customHeight="1" x14ac:dyDescent="0.3">
      <c r="A177" s="5" t="s">
        <v>75</v>
      </c>
      <c r="B177" s="5" t="s">
        <v>55</v>
      </c>
      <c r="C177" s="5" t="s">
        <v>36</v>
      </c>
      <c r="D177" s="5" t="s">
        <v>14</v>
      </c>
      <c r="E177" s="5">
        <v>1014.43</v>
      </c>
      <c r="F177" s="5">
        <v>2</v>
      </c>
      <c r="G177" s="5">
        <v>0.15</v>
      </c>
      <c r="H177" s="6">
        <v>45713</v>
      </c>
      <c r="I177" s="5">
        <v>344.91</v>
      </c>
      <c r="J177">
        <f t="shared" si="5"/>
        <v>2028.86</v>
      </c>
      <c r="K177" s="17">
        <f t="shared" ca="1" si="4"/>
        <v>46028.943489351848</v>
      </c>
    </row>
    <row r="178" spans="1:11" ht="15.75" customHeight="1" x14ac:dyDescent="0.3">
      <c r="A178" s="5" t="s">
        <v>77</v>
      </c>
      <c r="B178" s="5" t="s">
        <v>33</v>
      </c>
      <c r="C178" s="5" t="s">
        <v>36</v>
      </c>
      <c r="D178" s="5" t="s">
        <v>17</v>
      </c>
      <c r="E178" s="5">
        <v>826.97</v>
      </c>
      <c r="F178" s="5">
        <v>18</v>
      </c>
      <c r="G178" s="5">
        <v>0.2</v>
      </c>
      <c r="H178" s="6">
        <v>45715</v>
      </c>
      <c r="I178" s="5">
        <v>330.79</v>
      </c>
      <c r="J178">
        <f t="shared" si="5"/>
        <v>14885.460000000001</v>
      </c>
      <c r="K178" s="17">
        <f t="shared" ca="1" si="4"/>
        <v>46028.943489351848</v>
      </c>
    </row>
    <row r="179" spans="1:11" ht="15.75" customHeight="1" x14ac:dyDescent="0.3">
      <c r="A179" s="5" t="s">
        <v>18</v>
      </c>
      <c r="B179" s="5" t="s">
        <v>33</v>
      </c>
      <c r="C179" s="5" t="s">
        <v>36</v>
      </c>
      <c r="D179" s="5" t="s">
        <v>17</v>
      </c>
      <c r="E179" s="5">
        <v>1022.23</v>
      </c>
      <c r="F179" s="5">
        <v>8</v>
      </c>
      <c r="G179" s="5">
        <v>0.1</v>
      </c>
      <c r="H179" s="6">
        <v>45717</v>
      </c>
      <c r="I179" s="5">
        <v>460</v>
      </c>
      <c r="J179">
        <f t="shared" si="5"/>
        <v>8177.84</v>
      </c>
      <c r="K179" s="17">
        <f t="shared" ca="1" si="4"/>
        <v>46028.943489351848</v>
      </c>
    </row>
    <row r="180" spans="1:11" ht="15.75" customHeight="1" x14ac:dyDescent="0.3">
      <c r="A180" s="5" t="s">
        <v>74</v>
      </c>
      <c r="B180" s="5" t="s">
        <v>31</v>
      </c>
      <c r="C180" s="5" t="s">
        <v>20</v>
      </c>
      <c r="D180" s="5" t="s">
        <v>14</v>
      </c>
      <c r="E180" s="5">
        <v>1099.69</v>
      </c>
      <c r="F180" s="5">
        <v>6</v>
      </c>
      <c r="G180" s="5">
        <v>0</v>
      </c>
      <c r="H180" s="6">
        <v>45718</v>
      </c>
      <c r="I180" s="5">
        <v>439.88</v>
      </c>
      <c r="J180">
        <f t="shared" si="5"/>
        <v>6598.14</v>
      </c>
      <c r="K180" s="17">
        <f t="shared" ca="1" si="4"/>
        <v>46028.943489351848</v>
      </c>
    </row>
    <row r="181" spans="1:11" ht="15.75" customHeight="1" x14ac:dyDescent="0.3">
      <c r="A181" s="5" t="s">
        <v>54</v>
      </c>
      <c r="B181" s="5" t="s">
        <v>66</v>
      </c>
      <c r="C181" s="5" t="s">
        <v>26</v>
      </c>
      <c r="D181" s="5" t="s">
        <v>14</v>
      </c>
      <c r="E181" s="5">
        <v>710.52</v>
      </c>
      <c r="F181" s="5">
        <v>8</v>
      </c>
      <c r="G181" s="5">
        <v>0.1</v>
      </c>
      <c r="H181" s="6">
        <v>45721</v>
      </c>
      <c r="I181" s="5">
        <v>255.79</v>
      </c>
      <c r="J181">
        <f t="shared" si="5"/>
        <v>5684.16</v>
      </c>
      <c r="K181" s="17">
        <f t="shared" ca="1" si="4"/>
        <v>46028.943489351848</v>
      </c>
    </row>
    <row r="182" spans="1:11" ht="15.75" customHeight="1" x14ac:dyDescent="0.3">
      <c r="A182" s="5" t="s">
        <v>54</v>
      </c>
      <c r="B182" s="5" t="s">
        <v>61</v>
      </c>
      <c r="C182" s="5" t="s">
        <v>26</v>
      </c>
      <c r="D182" s="5" t="s">
        <v>14</v>
      </c>
      <c r="E182" s="5">
        <v>499.18</v>
      </c>
      <c r="F182" s="5">
        <v>15</v>
      </c>
      <c r="G182" s="5">
        <v>0.2</v>
      </c>
      <c r="H182" s="6">
        <v>45724</v>
      </c>
      <c r="I182" s="5">
        <v>159.74</v>
      </c>
      <c r="J182">
        <f t="shared" si="5"/>
        <v>7487.7</v>
      </c>
      <c r="K182" s="17">
        <f t="shared" ca="1" si="4"/>
        <v>46028.943489351848</v>
      </c>
    </row>
    <row r="183" spans="1:11" ht="15.75" customHeight="1" x14ac:dyDescent="0.3">
      <c r="A183" s="5" t="s">
        <v>39</v>
      </c>
      <c r="B183" s="5" t="s">
        <v>40</v>
      </c>
      <c r="C183" s="5" t="s">
        <v>22</v>
      </c>
      <c r="D183" s="5" t="s">
        <v>14</v>
      </c>
      <c r="E183" s="5">
        <v>1064.19</v>
      </c>
      <c r="F183" s="5">
        <v>18</v>
      </c>
      <c r="G183" s="5">
        <v>0.05</v>
      </c>
      <c r="H183" s="6">
        <v>45725</v>
      </c>
      <c r="I183" s="5">
        <v>404.39</v>
      </c>
      <c r="J183">
        <f t="shared" si="5"/>
        <v>19155.420000000002</v>
      </c>
      <c r="K183" s="17">
        <f t="shared" ca="1" si="4"/>
        <v>46028.943489351848</v>
      </c>
    </row>
    <row r="184" spans="1:11" ht="15.75" customHeight="1" x14ac:dyDescent="0.3">
      <c r="A184" s="5" t="s">
        <v>69</v>
      </c>
      <c r="B184" s="5" t="s">
        <v>40</v>
      </c>
      <c r="C184" s="5" t="s">
        <v>20</v>
      </c>
      <c r="D184" s="5" t="s">
        <v>41</v>
      </c>
      <c r="E184" s="5">
        <v>438.76</v>
      </c>
      <c r="F184" s="5">
        <v>18</v>
      </c>
      <c r="G184" s="5">
        <v>0.05</v>
      </c>
      <c r="H184" s="6">
        <v>45726</v>
      </c>
      <c r="I184" s="5">
        <v>187.57</v>
      </c>
      <c r="J184">
        <f t="shared" si="5"/>
        <v>7897.68</v>
      </c>
      <c r="K184" s="17">
        <f t="shared" ca="1" si="4"/>
        <v>46028.943489351848</v>
      </c>
    </row>
    <row r="185" spans="1:11" ht="15.75" customHeight="1" x14ac:dyDescent="0.3">
      <c r="A185" s="5" t="s">
        <v>43</v>
      </c>
      <c r="B185" s="5" t="s">
        <v>57</v>
      </c>
      <c r="C185" s="5" t="s">
        <v>13</v>
      </c>
      <c r="D185" s="5" t="s">
        <v>17</v>
      </c>
      <c r="E185" s="5">
        <v>864.98</v>
      </c>
      <c r="F185" s="5">
        <v>2</v>
      </c>
      <c r="G185" s="5">
        <v>0.05</v>
      </c>
      <c r="H185" s="6">
        <v>45727</v>
      </c>
      <c r="I185" s="5">
        <v>410.87</v>
      </c>
      <c r="J185">
        <f t="shared" si="5"/>
        <v>1729.96</v>
      </c>
      <c r="K185" s="17">
        <f t="shared" ca="1" si="4"/>
        <v>46028.943489351848</v>
      </c>
    </row>
    <row r="186" spans="1:11" ht="15.75" customHeight="1" x14ac:dyDescent="0.3">
      <c r="A186" s="5" t="s">
        <v>59</v>
      </c>
      <c r="B186" s="5" t="s">
        <v>57</v>
      </c>
      <c r="C186" s="5" t="s">
        <v>13</v>
      </c>
      <c r="D186" s="5" t="s">
        <v>29</v>
      </c>
      <c r="E186" s="5">
        <v>984.93</v>
      </c>
      <c r="F186" s="5">
        <v>14</v>
      </c>
      <c r="G186" s="5">
        <v>0.2</v>
      </c>
      <c r="H186" s="6">
        <v>45733</v>
      </c>
      <c r="I186" s="5">
        <v>275.77999999999997</v>
      </c>
      <c r="J186">
        <f t="shared" si="5"/>
        <v>13789.019999999999</v>
      </c>
      <c r="K186" s="17">
        <f t="shared" ca="1" si="4"/>
        <v>46028.943489351848</v>
      </c>
    </row>
    <row r="187" spans="1:11" ht="15.75" customHeight="1" x14ac:dyDescent="0.3">
      <c r="A187" s="5" t="s">
        <v>27</v>
      </c>
      <c r="B187" s="5" t="s">
        <v>57</v>
      </c>
      <c r="C187" s="5" t="s">
        <v>13</v>
      </c>
      <c r="D187" s="5" t="s">
        <v>17</v>
      </c>
      <c r="E187" s="5">
        <v>1493.49</v>
      </c>
      <c r="F187" s="5">
        <v>18</v>
      </c>
      <c r="G187" s="5">
        <v>0</v>
      </c>
      <c r="H187" s="6">
        <v>45734</v>
      </c>
      <c r="I187" s="5">
        <v>746.74</v>
      </c>
      <c r="J187">
        <f t="shared" si="5"/>
        <v>26882.82</v>
      </c>
      <c r="K187" s="17">
        <f t="shared" ca="1" si="4"/>
        <v>46028.943489351848</v>
      </c>
    </row>
    <row r="188" spans="1:11" ht="15.75" customHeight="1" x14ac:dyDescent="0.3">
      <c r="A188" s="5" t="s">
        <v>34</v>
      </c>
      <c r="B188" s="5" t="s">
        <v>55</v>
      </c>
      <c r="C188" s="5" t="s">
        <v>22</v>
      </c>
      <c r="D188" s="5" t="s">
        <v>17</v>
      </c>
      <c r="E188" s="5">
        <v>689.43</v>
      </c>
      <c r="F188" s="5">
        <v>9</v>
      </c>
      <c r="G188" s="5">
        <v>0.1</v>
      </c>
      <c r="H188" s="6">
        <v>45736</v>
      </c>
      <c r="I188" s="5">
        <v>310.24</v>
      </c>
      <c r="J188">
        <f t="shared" si="5"/>
        <v>6204.87</v>
      </c>
      <c r="K188" s="17">
        <f t="shared" ca="1" si="4"/>
        <v>46028.943489351848</v>
      </c>
    </row>
    <row r="189" spans="1:11" ht="15.75" customHeight="1" x14ac:dyDescent="0.3">
      <c r="A189" s="5" t="s">
        <v>42</v>
      </c>
      <c r="B189" s="5" t="s">
        <v>61</v>
      </c>
      <c r="C189" s="5" t="s">
        <v>22</v>
      </c>
      <c r="D189" s="5" t="s">
        <v>17</v>
      </c>
      <c r="E189" s="5">
        <v>682.24</v>
      </c>
      <c r="F189" s="5">
        <v>1</v>
      </c>
      <c r="G189" s="5">
        <v>0</v>
      </c>
      <c r="H189" s="6">
        <v>45738</v>
      </c>
      <c r="I189" s="5">
        <v>341.12</v>
      </c>
      <c r="J189">
        <f t="shared" si="5"/>
        <v>682.24</v>
      </c>
      <c r="K189" s="17">
        <f t="shared" ca="1" si="4"/>
        <v>46028.943489351848</v>
      </c>
    </row>
    <row r="190" spans="1:11" ht="15.75" customHeight="1" x14ac:dyDescent="0.3">
      <c r="A190" s="5" t="s">
        <v>43</v>
      </c>
      <c r="B190" s="5" t="s">
        <v>28</v>
      </c>
      <c r="C190" s="5" t="s">
        <v>26</v>
      </c>
      <c r="D190" s="5" t="s">
        <v>23</v>
      </c>
      <c r="E190" s="5">
        <v>458.54</v>
      </c>
      <c r="F190" s="5">
        <v>15</v>
      </c>
      <c r="G190" s="5">
        <v>0.2</v>
      </c>
      <c r="H190" s="6">
        <v>45741</v>
      </c>
      <c r="I190" s="5">
        <v>91.71</v>
      </c>
      <c r="J190">
        <f t="shared" si="5"/>
        <v>6878.1</v>
      </c>
      <c r="K190" s="17">
        <f t="shared" ca="1" si="4"/>
        <v>46028.943489351848</v>
      </c>
    </row>
    <row r="191" spans="1:11" ht="15.75" customHeight="1" x14ac:dyDescent="0.3">
      <c r="A191" s="5" t="s">
        <v>34</v>
      </c>
      <c r="B191" s="5" t="s">
        <v>28</v>
      </c>
      <c r="C191" s="5" t="s">
        <v>22</v>
      </c>
      <c r="D191" s="5" t="s">
        <v>29</v>
      </c>
      <c r="E191" s="5">
        <v>1184.25</v>
      </c>
      <c r="F191" s="5">
        <v>11</v>
      </c>
      <c r="G191" s="5">
        <v>0.2</v>
      </c>
      <c r="H191" s="6">
        <v>45742</v>
      </c>
      <c r="I191" s="5">
        <v>331.59</v>
      </c>
      <c r="J191">
        <f t="shared" si="5"/>
        <v>13026.75</v>
      </c>
      <c r="K191" s="17">
        <f t="shared" ca="1" si="4"/>
        <v>46028.943489351848</v>
      </c>
    </row>
    <row r="192" spans="1:11" ht="15.75" customHeight="1" x14ac:dyDescent="0.3">
      <c r="A192" s="5" t="s">
        <v>27</v>
      </c>
      <c r="B192" s="5" t="s">
        <v>12</v>
      </c>
      <c r="C192" s="5" t="s">
        <v>22</v>
      </c>
      <c r="D192" s="5" t="s">
        <v>17</v>
      </c>
      <c r="E192" s="5">
        <v>762.14</v>
      </c>
      <c r="F192" s="5">
        <v>9</v>
      </c>
      <c r="G192" s="5">
        <v>0</v>
      </c>
      <c r="H192" s="6">
        <v>45743</v>
      </c>
      <c r="I192" s="5">
        <v>381.07</v>
      </c>
      <c r="J192">
        <f t="shared" si="5"/>
        <v>6859.26</v>
      </c>
      <c r="K192" s="17">
        <f t="shared" ca="1" si="4"/>
        <v>46028.943489351848</v>
      </c>
    </row>
    <row r="193" spans="1:11" ht="15.75" customHeight="1" x14ac:dyDescent="0.3">
      <c r="A193" s="5" t="s">
        <v>24</v>
      </c>
      <c r="B193" s="5" t="s">
        <v>55</v>
      </c>
      <c r="C193" s="5" t="s">
        <v>26</v>
      </c>
      <c r="D193" s="5" t="s">
        <v>14</v>
      </c>
      <c r="E193" s="5">
        <v>750.71</v>
      </c>
      <c r="F193" s="5">
        <v>10</v>
      </c>
      <c r="G193" s="5">
        <v>0.15</v>
      </c>
      <c r="H193" s="6">
        <v>45743</v>
      </c>
      <c r="I193" s="5">
        <v>255.24</v>
      </c>
      <c r="J193">
        <f t="shared" si="5"/>
        <v>7507.1</v>
      </c>
      <c r="K193" s="17">
        <f t="shared" ca="1" si="4"/>
        <v>46028.943489351848</v>
      </c>
    </row>
    <row r="194" spans="1:11" ht="15.75" customHeight="1" x14ac:dyDescent="0.3">
      <c r="A194" s="5" t="s">
        <v>77</v>
      </c>
      <c r="B194" s="5" t="s">
        <v>73</v>
      </c>
      <c r="C194" s="5" t="s">
        <v>36</v>
      </c>
      <c r="D194" s="5" t="s">
        <v>17</v>
      </c>
      <c r="E194" s="5">
        <v>1456.94</v>
      </c>
      <c r="F194" s="5">
        <v>14</v>
      </c>
      <c r="G194" s="5">
        <v>0.05</v>
      </c>
      <c r="H194" s="6">
        <v>45745</v>
      </c>
      <c r="I194" s="5">
        <v>692.05</v>
      </c>
      <c r="J194">
        <f t="shared" si="5"/>
        <v>20397.16</v>
      </c>
      <c r="K194" s="17">
        <f t="shared" ref="K194:K201" ca="1" si="6">NOW()</f>
        <v>46028.943489351848</v>
      </c>
    </row>
    <row r="195" spans="1:11" ht="15.75" customHeight="1" x14ac:dyDescent="0.3">
      <c r="A195" s="5" t="s">
        <v>46</v>
      </c>
      <c r="B195" s="5" t="s">
        <v>63</v>
      </c>
      <c r="C195" s="5" t="s">
        <v>20</v>
      </c>
      <c r="D195" s="5" t="s">
        <v>29</v>
      </c>
      <c r="E195" s="5">
        <v>1093.3800000000001</v>
      </c>
      <c r="F195" s="5">
        <v>17</v>
      </c>
      <c r="G195" s="5">
        <v>0.1</v>
      </c>
      <c r="H195" s="6">
        <v>45745</v>
      </c>
      <c r="I195" s="5">
        <v>344.41</v>
      </c>
      <c r="J195">
        <f t="shared" ref="J195:J201" si="7">E195*F195</f>
        <v>18587.460000000003</v>
      </c>
      <c r="K195" s="17">
        <f t="shared" ca="1" si="6"/>
        <v>46028.943489351848</v>
      </c>
    </row>
    <row r="196" spans="1:11" ht="15.75" customHeight="1" x14ac:dyDescent="0.3">
      <c r="A196" s="5" t="s">
        <v>39</v>
      </c>
      <c r="B196" s="5" t="s">
        <v>45</v>
      </c>
      <c r="C196" s="5" t="s">
        <v>13</v>
      </c>
      <c r="D196" s="5" t="s">
        <v>17</v>
      </c>
      <c r="E196" s="5">
        <v>934.27</v>
      </c>
      <c r="F196" s="5">
        <v>8</v>
      </c>
      <c r="G196" s="5">
        <v>0.15</v>
      </c>
      <c r="H196" s="6">
        <v>45746</v>
      </c>
      <c r="I196" s="5">
        <v>397.06</v>
      </c>
      <c r="J196">
        <f t="shared" si="7"/>
        <v>7474.16</v>
      </c>
      <c r="K196" s="17">
        <f t="shared" ca="1" si="6"/>
        <v>46028.943489351848</v>
      </c>
    </row>
    <row r="197" spans="1:11" ht="15.75" customHeight="1" x14ac:dyDescent="0.3">
      <c r="A197" s="5" t="s">
        <v>72</v>
      </c>
      <c r="B197" s="5" t="s">
        <v>38</v>
      </c>
      <c r="C197" s="5" t="s">
        <v>36</v>
      </c>
      <c r="D197" s="5" t="s">
        <v>17</v>
      </c>
      <c r="E197" s="5">
        <v>1465.35</v>
      </c>
      <c r="F197" s="5">
        <v>8</v>
      </c>
      <c r="G197" s="5">
        <v>0.2</v>
      </c>
      <c r="H197" s="6">
        <v>45746</v>
      </c>
      <c r="I197" s="5">
        <v>586.14</v>
      </c>
      <c r="J197">
        <f t="shared" si="7"/>
        <v>11722.8</v>
      </c>
      <c r="K197" s="17">
        <f t="shared" ca="1" si="6"/>
        <v>46028.943489351848</v>
      </c>
    </row>
    <row r="198" spans="1:11" ht="15.75" customHeight="1" x14ac:dyDescent="0.3">
      <c r="A198" s="5" t="s">
        <v>54</v>
      </c>
      <c r="B198" s="5" t="s">
        <v>16</v>
      </c>
      <c r="C198" s="5" t="s">
        <v>22</v>
      </c>
      <c r="D198" s="5" t="s">
        <v>41</v>
      </c>
      <c r="E198" s="5">
        <v>740.8</v>
      </c>
      <c r="F198" s="5">
        <v>3</v>
      </c>
      <c r="G198" s="5">
        <v>0</v>
      </c>
      <c r="H198" s="6">
        <v>45749</v>
      </c>
      <c r="I198" s="5">
        <v>333.36</v>
      </c>
      <c r="J198">
        <f t="shared" si="7"/>
        <v>2222.3999999999996</v>
      </c>
      <c r="K198" s="17">
        <f t="shared" ca="1" si="6"/>
        <v>46028.943489351848</v>
      </c>
    </row>
    <row r="199" spans="1:11" ht="15.75" customHeight="1" x14ac:dyDescent="0.3">
      <c r="A199" s="5" t="s">
        <v>60</v>
      </c>
      <c r="B199" s="5" t="s">
        <v>45</v>
      </c>
      <c r="C199" s="5" t="s">
        <v>13</v>
      </c>
      <c r="D199" s="5" t="s">
        <v>41</v>
      </c>
      <c r="E199" s="5">
        <v>545.44000000000005</v>
      </c>
      <c r="F199" s="5">
        <v>17</v>
      </c>
      <c r="G199" s="5">
        <v>0</v>
      </c>
      <c r="H199" s="6">
        <v>45752</v>
      </c>
      <c r="I199" s="5">
        <v>245.45</v>
      </c>
      <c r="J199">
        <f t="shared" si="7"/>
        <v>9272.4800000000014</v>
      </c>
      <c r="K199" s="17">
        <f t="shared" ca="1" si="6"/>
        <v>46028.943489351848</v>
      </c>
    </row>
    <row r="200" spans="1:11" ht="15.75" customHeight="1" x14ac:dyDescent="0.3">
      <c r="A200" s="5" t="s">
        <v>37</v>
      </c>
      <c r="B200" s="5" t="s">
        <v>38</v>
      </c>
      <c r="C200" s="5" t="s">
        <v>20</v>
      </c>
      <c r="D200" s="5" t="s">
        <v>14</v>
      </c>
      <c r="E200" s="5">
        <v>997.61</v>
      </c>
      <c r="F200" s="5">
        <v>8</v>
      </c>
      <c r="G200" s="5">
        <v>0.05</v>
      </c>
      <c r="H200" s="6">
        <v>45752</v>
      </c>
      <c r="I200" s="5">
        <v>379.09</v>
      </c>
      <c r="J200">
        <f t="shared" si="7"/>
        <v>7980.88</v>
      </c>
      <c r="K200" s="17">
        <f t="shared" ca="1" si="6"/>
        <v>46028.943489351848</v>
      </c>
    </row>
    <row r="201" spans="1:11" ht="15.75" customHeight="1" x14ac:dyDescent="0.3">
      <c r="A201" s="5" t="s">
        <v>62</v>
      </c>
      <c r="B201" s="5" t="s">
        <v>38</v>
      </c>
      <c r="C201" s="5" t="s">
        <v>22</v>
      </c>
      <c r="D201" s="5" t="s">
        <v>17</v>
      </c>
      <c r="E201" s="5">
        <v>928.32</v>
      </c>
      <c r="F201" s="5">
        <v>2</v>
      </c>
      <c r="G201" s="5">
        <v>0.05</v>
      </c>
      <c r="H201" s="6">
        <v>45754</v>
      </c>
      <c r="I201" s="5">
        <v>440.95</v>
      </c>
      <c r="J201">
        <f t="shared" si="7"/>
        <v>1856.64</v>
      </c>
      <c r="K201" s="17">
        <f t="shared" ca="1" si="6"/>
        <v>46028.943489351848</v>
      </c>
    </row>
    <row r="202" spans="1:11" ht="15.75" customHeight="1" x14ac:dyDescent="0.3"/>
    <row r="203" spans="1:11" ht="15.75" customHeight="1" x14ac:dyDescent="0.3"/>
    <row r="204" spans="1:11" ht="15.75" customHeight="1" x14ac:dyDescent="0.3"/>
    <row r="205" spans="1:11" ht="15.75" customHeight="1" x14ac:dyDescent="0.3"/>
    <row r="206" spans="1:11" ht="15.75" customHeight="1" x14ac:dyDescent="0.3"/>
    <row r="207" spans="1:11" ht="15.75" customHeight="1" x14ac:dyDescent="0.3"/>
    <row r="208" spans="1:11"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onditionalFormatting sqref="M23">
    <cfRule type="timePeriod" dxfId="5" priority="5" timePeriod="thisMonth">
      <formula>AND(MONTH(M23)=MONTH(TODAY()),YEAR(M23)=YEAR(TODAY()))</formula>
    </cfRule>
  </conditionalFormatting>
  <conditionalFormatting sqref="E2:E201">
    <cfRule type="timePeriod" dxfId="0" priority="4" timePeriod="thisMonth">
      <formula>AND(MONTH(E2)=MONTH(TODAY()),YEAR(E2)=YEAR(TODAY()))</formula>
    </cfRule>
    <cfRule type="top10" dxfId="1" priority="1" bottom="1" rank="10"/>
  </conditionalFormatting>
  <conditionalFormatting sqref="M181">
    <cfRule type="colorScale" priority="3">
      <colorScale>
        <cfvo type="min"/>
        <cfvo type="percentile" val="50"/>
        <cfvo type="max"/>
        <color rgb="FFF8696B"/>
        <color rgb="FFFFEB84"/>
        <color rgb="FF63BE7B"/>
      </colorScale>
    </cfRule>
  </conditionalFormatting>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Instructions</vt:lpstr>
      <vt:lpstr>Descriptive statistics</vt:lpstr>
      <vt:lpstr>Regression</vt:lpstr>
      <vt:lpstr>Region</vt:lpstr>
      <vt:lpstr>Years Sales</vt:lpstr>
      <vt:lpstr>Product category</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kajalharijan07@outlook.com</cp:lastModifiedBy>
  <dcterms:created xsi:type="dcterms:W3CDTF">2026-01-06T17:08:37Z</dcterms:created>
  <dcterms:modified xsi:type="dcterms:W3CDTF">2026-01-06T17:09:28Z</dcterms:modified>
</cp:coreProperties>
</file>